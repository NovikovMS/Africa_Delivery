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Допущения" sheetId="3" state="visible" r:id="rId3"/>
    <sheet xmlns:r="http://schemas.openxmlformats.org/officeDocument/2006/relationships" name="TCO-V1" sheetId="4" state="visible" r:id="rId4"/>
    <sheet xmlns:r="http://schemas.openxmlformats.org/officeDocument/2006/relationships" name="TCO-V2" sheetId="5" state="visible" r:id="rId5"/>
    <sheet xmlns:r="http://schemas.openxmlformats.org/officeDocument/2006/relationships" name="TCO-V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6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theme="1"/>
      <sz val="11"/>
    </font>
    <font>
      <name val="Calibri"/>
      <color theme="1"/>
      <sz val="11"/>
    </font>
    <font>
      <name val="Arial"/>
      <i val="1"/>
      <color rgb="FF808080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0000FF"/>
      <sz val="10"/>
    </font>
    <font>
      <name val="Calibri"/>
      <color theme="1"/>
      <sz val="11"/>
      <scheme val="minor"/>
    </font>
    <font>
      <name val="Arial"/>
      <color rgb="FF008000"/>
      <sz val="10"/>
    </font>
    <font>
      <name val="Calibri"/>
      <sz val="11"/>
    </font>
    <font>
      <b val="1"/>
      <sz val="14"/>
    </font>
    <font>
      <b val="1"/>
      <color rgb="FFFFFFFF"/>
    </font>
    <font>
      <b val="1"/>
    </font>
  </fonts>
  <fills count="8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1F38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10" fillId="0" borderId="1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4" fillId="2" borderId="2" pivotButton="0" quotePrefix="0" xfId="0"/>
    <xf numFmtId="0" fontId="5" fillId="2" borderId="2" pivotButton="0" quotePrefix="0" xfId="0"/>
    <xf numFmtId="0" fontId="7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9" fillId="4" borderId="2" pivotButton="0" quotePrefix="0" xfId="0"/>
    <xf numFmtId="0" fontId="6" fillId="0" borderId="0" applyAlignment="1" pivotButton="0" quotePrefix="0" xfId="0">
      <alignment vertical="top" wrapText="1"/>
    </xf>
    <xf numFmtId="164" fontId="9" fillId="4" borderId="2" pivotButton="0" quotePrefix="0" xfId="0"/>
    <xf numFmtId="0" fontId="2" fillId="0" borderId="2" pivotButton="0" quotePrefix="0" xfId="0"/>
    <xf numFmtId="165" fontId="2" fillId="0" borderId="2" pivotButton="0" quotePrefix="0" xfId="0"/>
    <xf numFmtId="0" fontId="9" fillId="4" borderId="2" pivotButton="0" quotePrefix="0" xfId="0"/>
    <xf numFmtId="165" fontId="9" fillId="4" borderId="2" pivotButton="0" quotePrefix="0" xfId="0"/>
    <xf numFmtId="166" fontId="9" fillId="4" borderId="2" pivotButton="0" quotePrefix="0" xfId="0"/>
    <xf numFmtId="167" fontId="9" fillId="4" borderId="2" pivotButton="0" quotePrefix="0" xfId="0"/>
    <xf numFmtId="1" fontId="9" fillId="4" borderId="2" pivotButton="0" quotePrefix="0" xfId="0"/>
    <xf numFmtId="2" fontId="3" fillId="0" borderId="2" pivotButton="0" quotePrefix="0" xfId="0"/>
    <xf numFmtId="165" fontId="3" fillId="0" borderId="2" pivotButton="0" quotePrefix="0" xfId="0"/>
    <xf numFmtId="0" fontId="5" fillId="0" borderId="2" pivotButton="0" quotePrefix="0" xfId="0"/>
    <xf numFmtId="0" fontId="6" fillId="0" borderId="2" applyAlignment="1" pivotButton="0" quotePrefix="0" xfId="0">
      <alignment vertical="top" wrapText="1"/>
    </xf>
    <xf numFmtId="0" fontId="2" fillId="5" borderId="2" pivotButton="0" quotePrefix="0" xfId="0"/>
    <xf numFmtId="0" fontId="5" fillId="5" borderId="2" pivotButton="0" quotePrefix="0" xfId="0"/>
    <xf numFmtId="165" fontId="2" fillId="5" borderId="2" pivotButton="0" quotePrefix="0" xfId="0"/>
    <xf numFmtId="166" fontId="2" fillId="5" borderId="2" pivotButton="0" quotePrefix="0" xfId="0"/>
    <xf numFmtId="0" fontId="10" fillId="0" borderId="0" pivotButton="0" quotePrefix="0" xfId="0"/>
    <xf numFmtId="165" fontId="11" fillId="0" borderId="2" pivotButton="0" quotePrefix="0" xfId="0"/>
    <xf numFmtId="168" fontId="11" fillId="0" borderId="2" pivotButton="0" quotePrefix="0" xfId="0"/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164" fontId="2" fillId="6" borderId="3" pivotButton="0" quotePrefix="0" xfId="0"/>
    <xf numFmtId="10" fontId="2" fillId="6" borderId="3" pivotButton="0" quotePrefix="0" xfId="0"/>
    <xf numFmtId="166" fontId="2" fillId="6" borderId="3" pivotButton="0" quotePrefix="0" xfId="0"/>
    <xf numFmtId="0" fontId="4" fillId="0" borderId="0" pivotButton="0" quotePrefix="0" xfId="0"/>
    <xf numFmtId="0" fontId="9" fillId="4" borderId="5" applyAlignment="1" pivotButton="0" quotePrefix="0" xfId="0">
      <alignment vertical="top" wrapText="1"/>
    </xf>
    <xf numFmtId="165" fontId="2" fillId="6" borderId="3" pivotButton="0" quotePrefix="0" xfId="0"/>
    <xf numFmtId="0" fontId="2" fillId="6" borderId="3" pivotButton="0" quotePrefix="0" xfId="0"/>
    <xf numFmtId="0" fontId="12" fillId="0" borderId="4" pivotButton="0" quotePrefix="0" xfId="0"/>
    <xf numFmtId="0" fontId="12" fillId="0" borderId="6" pivotButton="0" quotePrefix="0" xfId="0"/>
    <xf numFmtId="0" fontId="12" fillId="0" borderId="7" pivotButton="0" quotePrefix="0" xfId="0"/>
    <xf numFmtId="0" fontId="12" fillId="0" borderId="8" pivotButton="0" quotePrefix="0" xfId="0"/>
    <xf numFmtId="0" fontId="12" fillId="0" borderId="9" pivotButton="0" quotePrefix="0" xfId="0"/>
    <xf numFmtId="0" fontId="12" fillId="0" borderId="10" pivotButton="0" quotePrefix="0" xfId="0"/>
    <xf numFmtId="0" fontId="12" fillId="0" borderId="11" pivotButton="0" quotePrefix="0" xfId="0"/>
    <xf numFmtId="0" fontId="12" fillId="0" borderId="12" pivotButton="0" quotePrefix="0" xfId="0"/>
    <xf numFmtId="0" fontId="8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7" borderId="0" pivotButton="0" quotePrefix="0" xfId="0"/>
    <xf numFmtId="3" fontId="0" fillId="0" borderId="0" pivotButton="0" quotePrefix="0" xfId="0"/>
    <xf numFmtId="49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6" fillId="0" borderId="1" applyAlignment="1" pivotButton="0" quotePrefix="0" xfId="0">
      <alignment vertical="top" wrapText="1"/>
    </xf>
    <xf numFmtId="165" fontId="2" fillId="6" borderId="2" pivotButton="0" quotePrefix="0" xfId="0"/>
    <xf numFmtId="0" fontId="0" fillId="0" borderId="4" pivotButton="0" quotePrefix="0" xfId="0"/>
    <xf numFmtId="0" fontId="2" fillId="6" borderId="2" pivotButton="0" quotePrefix="0" xfId="0"/>
    <xf numFmtId="164" fontId="2" fillId="6" borderId="2" pivotButton="0" quotePrefix="0" xfId="0"/>
    <xf numFmtId="10" fontId="2" fillId="6" borderId="2" pivotButton="0" quotePrefix="0" xfId="0"/>
    <xf numFmtId="166" fontId="2" fillId="6" borderId="2" pivotButton="0" quotePrefix="0" xfId="0"/>
    <xf numFmtId="0" fontId="4" fillId="0" borderId="1" pivotButton="0" quotePrefix="0" xfId="0"/>
    <xf numFmtId="0" fontId="9" fillId="4" borderId="2" applyAlignment="1" pivotButton="0" quotePrefix="0" xfId="0">
      <alignment vertical="top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0" fontId="9" fillId="4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tabSelected="1"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6" customWidth="1" style="33" min="2" max="2"/>
    <col width="78" customWidth="1" style="33" min="3" max="3"/>
    <col width="8.7109375" customWidth="1" style="33" min="4" max="26"/>
  </cols>
  <sheetData>
    <row r="2">
      <c r="B2" s="1" t="inlineStr">
        <is>
          <t>Модель TCO (Total Cost of Ownership) — кейс «Africa Delivery», горизонт 5 лет</t>
        </is>
      </c>
    </row>
    <row r="3">
      <c r="B3" s="2" t="n"/>
      <c r="C3" s="3" t="n"/>
    </row>
    <row r="4">
      <c r="B4" s="4" t="inlineStr">
        <is>
          <t>Зачем этот файл</t>
        </is>
      </c>
      <c r="C4" s="5" t="n"/>
    </row>
    <row r="5" ht="30" customHeight="1" s="33">
      <c r="B5" s="2" t="inlineStr">
        <is>
          <t>Задача</t>
        </is>
      </c>
      <c r="C5" s="3" t="inlineStr">
        <is>
      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      </is>
      </c>
    </row>
    <row r="6" ht="30" customHeight="1" s="33">
      <c r="B6" s="2" t="inlineStr">
        <is>
          <t>Как использовать</t>
        </is>
      </c>
      <c r="C6" s="3" t="inlineStr">
        <is>
      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      </is>
      </c>
    </row>
    <row r="7">
      <c r="B7" s="2" t="n"/>
      <c r="C7" s="3" t="n"/>
    </row>
    <row r="8">
      <c r="B8" s="4" t="inlineStr">
        <is>
          <t>Цветовая легенда</t>
        </is>
      </c>
      <c r="C8" s="5" t="n"/>
    </row>
    <row r="9">
      <c r="B9" s="2" t="inlineStr">
        <is>
          <t>Синий текст на жёлтом фоне</t>
        </is>
      </c>
      <c r="C9" s="3" t="inlineStr">
        <is>
          <t>Ячейки для заполнения. Только их и редактируем.</t>
        </is>
      </c>
    </row>
    <row r="10">
      <c r="B10" s="2" t="inlineStr">
        <is>
          <t>Чёрный текст</t>
        </is>
      </c>
      <c r="C10" s="3" t="inlineStr">
        <is>
          <t>Формулы. Не трогаем — пересчитаются сами.</t>
        </is>
      </c>
    </row>
    <row r="11">
      <c r="B11" s="2" t="inlineStr">
        <is>
          <t>Зелёный текст</t>
        </is>
      </c>
      <c r="C11" s="3" t="inlineStr">
        <is>
          <t>Ссылка на лист «Допущения».</t>
        </is>
      </c>
    </row>
    <row r="12">
      <c r="B12" s="2" t="n"/>
      <c r="C12" s="3" t="n"/>
    </row>
    <row r="13">
      <c r="B13" s="4" t="inlineStr">
        <is>
          <t>Порядок работы</t>
        </is>
      </c>
      <c r="C13" s="5" t="n"/>
    </row>
    <row r="14" ht="30" customHeight="1" s="33">
      <c r="B14" s="2" t="inlineStr">
        <is>
          <t>Шаг 1</t>
        </is>
      </c>
      <c r="C14" s="3" t="inlineStr">
        <is>
          <t>Лист «Допущения» → блок 1: вбить драйверы бизнеса по годам (активные пользователи, число заказов, средний чек). Из них считается GMV.</t>
        </is>
      </c>
    </row>
    <row r="15" ht="30" customHeight="1" s="33">
      <c r="B15" s="2" t="inlineStr">
        <is>
          <t>Шаг 2</t>
        </is>
      </c>
      <c r="C15" s="3" t="inlineStr">
        <is>
          <t>Лист «Допущения» → блок 2: финансовые допущения (инфляция, рост ФОТ, ставка дисконтирования, резерв, целевой SLO).</t>
        </is>
      </c>
    </row>
    <row r="16" ht="30" customHeight="1" s="33">
      <c r="B16" s="2" t="inlineStr">
        <is>
          <t>Шаг 3</t>
        </is>
      </c>
      <c r="C16" s="3" t="inlineStr">
        <is>
      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      </is>
      </c>
    </row>
    <row r="17" ht="30" customHeight="1" s="33">
      <c r="B17" s="2" t="inlineStr">
        <is>
          <t>Шаг 4</t>
        </is>
      </c>
      <c r="C17" s="3" t="inlineStr">
        <is>
      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      </is>
      </c>
    </row>
    <row r="18" ht="30" customHeight="1" s="33">
      <c r="B18" s="2" t="inlineStr">
        <is>
          <t>Шаг 5</t>
        </is>
      </c>
      <c r="C18" s="3" t="inlineStr">
        <is>
          <t>Посмотреть блок «Ключевые метрики» внизу листа TCO и сводку на листе «Сводка». Лимит CFO - $5k/мес с SaaS (А6).</t>
        </is>
      </c>
    </row>
    <row r="19">
      <c r="B19" s="2" t="n"/>
      <c r="C19" s="3" t="n"/>
    </row>
    <row r="20">
      <c r="B20" s="4" t="inlineStr">
        <is>
          <t>Что важно не забыть в этом кейсе</t>
        </is>
      </c>
      <c r="C20" s="5" t="n"/>
    </row>
    <row r="21" ht="30" customHeight="1" s="33">
      <c r="B21" s="2" t="inlineStr">
        <is>
          <t>Бюджет CFO</t>
        </is>
      </c>
      <c r="C21" s="3" t="inlineStr">
        <is>
          <t>$5 000/мес на всё техническое с регулярными платежами, включая SaaS и мониторинг (А6). $9k - цифра из презентации совету, разработке недоступна.</t>
        </is>
      </c>
    </row>
    <row r="22" ht="30" customHeight="1" s="33">
      <c r="B22" s="2" t="inlineStr">
        <is>
          <t>Цена простоя</t>
        </is>
      </c>
      <c r="C22" s="3" t="inlineStr">
        <is>
          <t>Инвестор оценивает минуту в $12 000 (А1). Это соответствует GMV $6,3 млрд в год. В модели потери считаются от фактического GMV года с пиковым коэффициентом.</t>
        </is>
      </c>
    </row>
    <row r="23" ht="30" customHeight="1" s="33">
      <c r="B23" s="2" t="inlineStr">
        <is>
          <t>Транзакционные расходы</t>
        </is>
      </c>
      <c r="C23" s="3" t="inlineStr">
        <is>
      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      </is>
      </c>
    </row>
    <row r="24" ht="30" customHeight="1" s="33">
      <c r="B24" s="2" t="inlineStr">
        <is>
          <t>Сравнение вариантов</t>
        </is>
      </c>
      <c r="C24" s="3" t="inlineStr">
        <is>
          <t>Транзакционные расходы (блок 3) почти одинаковы для любой архитектуры — это pass-through от оборота. Варианты архитектуры сравнивай по блокам 1, 2, 4 и 6.</t>
        </is>
      </c>
    </row>
    <row r="25" ht="30" customHeight="1" s="33">
      <c r="B25" s="2" t="inlineStr">
        <is>
          <t>Разовые затраты</t>
        </is>
      </c>
      <c r="C25" s="3" t="inlineStr">
        <is>
      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      </is>
      </c>
    </row>
    <row r="26" ht="30" customHeight="1" s="33">
      <c r="B26" s="2" t="inlineStr">
        <is>
          <t>Люди</t>
        </is>
      </c>
      <c r="C26" s="3" t="inlineStr">
        <is>
      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      </is>
      </c>
    </row>
    <row r="27" ht="15.75" customHeight="1" s="33">
      <c r="B27" s="2" t="n"/>
      <c r="C27" s="3" t="n"/>
    </row>
    <row r="28" ht="30" customHeight="1" s="33">
      <c r="B28" s="50" t="inlineStr">
        <is>
          <t>Все числа в файле — примеры для демонстрации формата. Замени их своими оценками и укажи источник в колонке «Комментарий / источник».</t>
        </is>
      </c>
    </row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28:C28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9"/>
  <sheetViews>
    <sheetView workbookViewId="0">
      <selection activeCell="A1" sqref="A1"/>
    </sheetView>
  </sheetViews>
  <sheetFormatPr baseColWidth="8" defaultRowHeight="15"/>
  <cols>
    <col width="62" customWidth="1" style="33" min="2" max="2"/>
    <col width="24" customWidth="1" style="33" min="3" max="3"/>
    <col width="24" customWidth="1" style="33" min="4" max="4"/>
    <col width="24" customWidth="1" style="33" min="5" max="5"/>
    <col width="40" customWidth="1" style="33" min="6" max="6"/>
  </cols>
  <sheetData>
    <row r="2">
      <c r="B2" s="51" t="inlineStr">
        <is>
          <t>Сводка вариантов - TCO 5 лет, $</t>
        </is>
      </c>
    </row>
    <row r="4">
      <c r="B4" s="52" t="inlineStr">
        <is>
          <t>Метрика</t>
        </is>
      </c>
      <c r="C4" s="52" t="inlineStr">
        <is>
          <t>V1 Модульный монолит</t>
        </is>
      </c>
      <c r="D4" s="52" t="inlineStr">
        <is>
          <t>V2 Сервисы на K8s</t>
        </is>
      </c>
      <c r="E4" s="52" t="inlineStr">
        <is>
          <t>V3 Микросервисы CTO</t>
        </is>
      </c>
      <c r="F4" s="52" t="inlineStr">
        <is>
          <t>Комментарий</t>
        </is>
      </c>
    </row>
    <row r="5">
      <c r="B5" t="inlineStr">
        <is>
          <t>TCO 5 лет, прямые затраты</t>
        </is>
      </c>
      <c r="C5" s="53">
        <f>'TCO-V1'!E59</f>
        <v/>
      </c>
      <c r="D5" s="53">
        <f>'TCO-V2'!E59</f>
        <v/>
      </c>
      <c r="E5" s="53">
        <f>'TCO-V3'!E59</f>
        <v/>
      </c>
      <c r="F5" t="inlineStr">
        <is>
          <t>Основа сравнения</t>
        </is>
      </c>
    </row>
    <row r="6">
      <c r="B6" t="inlineStr">
        <is>
          <t>TCO 5 лет с ожидаемыми потерями от простоя</t>
        </is>
      </c>
      <c r="C6" s="53">
        <f>'TCO-V1'!E60</f>
        <v/>
      </c>
      <c r="D6" s="53">
        <f>'TCO-V2'!E60</f>
        <v/>
      </c>
      <c r="E6" s="53">
        <f>'TCO-V3'!E60</f>
        <v/>
      </c>
      <c r="F6" t="inlineStr">
        <is>
          <t>Блок 6 от GMV</t>
        </is>
      </c>
    </row>
    <row r="7">
      <c r="B7" t="inlineStr">
        <is>
          <t>NPV затрат 5 лет</t>
        </is>
      </c>
      <c r="C7" s="53">
        <f>'TCO-V1'!E61</f>
        <v/>
      </c>
      <c r="D7" s="53">
        <f>'TCO-V2'!E61</f>
        <v/>
      </c>
      <c r="E7" s="53">
        <f>'TCO-V3'!E61</f>
        <v/>
      </c>
      <c r="F7" t="inlineStr">
        <is>
          <t>Ставка 25%</t>
        </is>
      </c>
    </row>
    <row r="8">
      <c r="B8" t="inlineStr">
        <is>
          <t>Блок 1. Облако, 5 лет</t>
        </is>
      </c>
      <c r="C8" s="53">
        <f>'TCO-V1'!J15</f>
        <v/>
      </c>
      <c r="D8" s="53">
        <f>'TCO-V2'!J15</f>
        <v/>
      </c>
      <c r="E8" s="53">
        <f>'TCO-V3'!J15</f>
        <v/>
      </c>
      <c r="F8" t="inlineStr"/>
    </row>
    <row r="9">
      <c r="B9" t="inlineStr">
        <is>
          <t>Блок 2. Лицензии и SaaS, 5 лет</t>
        </is>
      </c>
      <c r="C9" s="53">
        <f>'TCO-V1'!J24</f>
        <v/>
      </c>
      <c r="D9" s="53">
        <f>'TCO-V2'!J24</f>
        <v/>
      </c>
      <c r="E9" s="53">
        <f>'TCO-V3'!J24</f>
        <v/>
      </c>
      <c r="F9" t="inlineStr"/>
    </row>
    <row r="10">
      <c r="B10" t="inlineStr">
        <is>
          <t>Блок 3. Транзакционные, 5 лет</t>
        </is>
      </c>
      <c r="C10" s="53">
        <f>'TCO-V1'!J32</f>
        <v/>
      </c>
      <c r="D10" s="53">
        <f>'TCO-V2'!J32</f>
        <v/>
      </c>
      <c r="E10" s="53">
        <f>'TCO-V3'!J32</f>
        <v/>
      </c>
      <c r="F10" t="inlineStr">
        <is>
          <t>Одинаков для всех вариантов</t>
        </is>
      </c>
    </row>
    <row r="11">
      <c r="B11" t="inlineStr">
        <is>
          <t>Блок 4. ФОТ, 5 лет</t>
        </is>
      </c>
      <c r="C11" s="53">
        <f>'TCO-V1'!J40</f>
        <v/>
      </c>
      <c r="D11" s="53">
        <f>'TCO-V2'!J40</f>
        <v/>
      </c>
      <c r="E11" s="53">
        <f>'TCO-V3'!J40</f>
        <v/>
      </c>
      <c r="F11" t="inlineStr">
        <is>
          <t>Главная разница</t>
        </is>
      </c>
    </row>
    <row r="12">
      <c r="B12" t="inlineStr">
        <is>
          <t>Блок 5. Разовые и комплаенс, 5 лет</t>
        </is>
      </c>
      <c r="C12" s="53">
        <f>'TCO-V1'!J48</f>
        <v/>
      </c>
      <c r="D12" s="53">
        <f>'TCO-V2'!J48</f>
        <v/>
      </c>
      <c r="E12" s="53">
        <f>'TCO-V3'!J48</f>
        <v/>
      </c>
      <c r="F12" t="inlineStr"/>
    </row>
    <row r="13">
      <c r="B13" t="inlineStr">
        <is>
          <t>Блок 6. Ожидаемые потери от простоя, 5 лет</t>
        </is>
      </c>
      <c r="C13" s="53">
        <f>'TCO-V1'!J53</f>
        <v/>
      </c>
      <c r="D13" s="53">
        <f>'TCO-V2'!J53</f>
        <v/>
      </c>
      <c r="E13" s="53">
        <f>'TCO-V3'!J53</f>
        <v/>
      </c>
      <c r="F13" t="inlineStr"/>
    </row>
    <row r="14">
      <c r="B14" t="inlineStr">
        <is>
          <t>Облако, $/мес Год 1</t>
        </is>
      </c>
      <c r="C14" s="53">
        <f>'TCO-V1'!E63</f>
        <v/>
      </c>
      <c r="D14" s="53">
        <f>'TCO-V2'!E63</f>
        <v/>
      </c>
      <c r="E14" s="53">
        <f>'TCO-V3'!E63</f>
        <v/>
      </c>
      <c r="F14" t="inlineStr"/>
    </row>
    <row r="15">
      <c r="B15" t="inlineStr">
        <is>
          <t>Облако + SaaS, $/мес Год 1</t>
        </is>
      </c>
      <c r="C15" s="53">
        <f>'TCO-V1'!E77</f>
        <v/>
      </c>
      <c r="D15" s="53">
        <f>'TCO-V2'!E77</f>
        <v/>
      </c>
      <c r="E15" s="53">
        <f>'TCO-V3'!E77</f>
        <v/>
      </c>
      <c r="F15" t="inlineStr">
        <is>
          <t>Лимит CFO $5 000 (А6)</t>
        </is>
      </c>
    </row>
    <row r="16">
      <c r="B16" t="inlineStr">
        <is>
          <t>Проверка лимита CFO</t>
        </is>
      </c>
      <c r="C16" s="54">
        <f>'TCO-V1'!E78</f>
        <v/>
      </c>
      <c r="D16" s="54">
        <f>'TCO-V2'!E78</f>
        <v/>
      </c>
      <c r="E16" s="54">
        <f>'TCO-V3'!E78</f>
        <v/>
      </c>
      <c r="F16" t="inlineStr"/>
    </row>
    <row r="17">
      <c r="B17" t="inlineStr">
        <is>
          <t>Сравнимая часть: блоки 1, 2, 4, 6, 5 лет</t>
        </is>
      </c>
      <c r="C17" s="53">
        <f>'TCO-V1'!J15+'TCO-V1'!J24+'TCO-V1'!J40+'TCO-V1'!J53</f>
        <v/>
      </c>
      <c r="D17" s="53">
        <f>'TCO-V2'!J15+'TCO-V2'!J24+'TCO-V2'!J40+'TCO-V2'!J53</f>
        <v/>
      </c>
      <c r="E17" s="53">
        <f>'TCO-V3'!J15+'TCO-V3'!J24+'TCO-V3'!J40+'TCO-V3'!J53</f>
        <v/>
      </c>
      <c r="F17" t="inlineStr">
        <is>
          <t>Блок 3 одинаков, сравнение по блокам 1, 2, 4, 6</t>
        </is>
      </c>
    </row>
    <row r="18">
      <c r="B18" t="inlineStr">
        <is>
          <t>Минут простоя за 5 лет при целевом SLO</t>
        </is>
      </c>
      <c r="C18" s="53">
        <f>SUMPRODUCT(1-'TCO-V1'!E80:I80)*525600</f>
        <v/>
      </c>
      <c r="D18" s="53">
        <f>SUMPRODUCT(1-'TCO-V2'!E80:I80)*525600</f>
        <v/>
      </c>
      <c r="E18" s="53">
        <f>SUMPRODUCT(1-'TCO-V3'!E80:I80)*525600</f>
        <v/>
      </c>
      <c r="F18" t="inlineStr"/>
    </row>
    <row r="19">
      <c r="B19" t="inlineStr">
        <is>
          <t>TCO на 1 заказ за 5 лет</t>
        </is>
      </c>
      <c r="C19" s="55">
        <f>'TCO-V1'!E65</f>
        <v/>
      </c>
      <c r="D19" s="55">
        <f>'TCO-V2'!E65</f>
        <v/>
      </c>
      <c r="E19" s="55">
        <f>'TCO-V3'!E65</f>
        <v/>
      </c>
      <c r="F19" t="inlineStr"/>
    </row>
    <row r="20">
      <c r="B20" t="inlineStr">
        <is>
          <t>ИТ-затраты как доля GMV</t>
        </is>
      </c>
      <c r="C20" s="56">
        <f>'TCO-V1'!E67</f>
        <v/>
      </c>
      <c r="D20" s="56">
        <f>'TCO-V2'!E67</f>
        <v/>
      </c>
      <c r="E20" s="56">
        <f>'TCO-V3'!E67</f>
        <v/>
      </c>
      <c r="F20" t="inlineStr"/>
    </row>
    <row r="21">
      <c r="B21" t="inlineStr">
        <is>
          <t>Доля ФОТ в TCO</t>
        </is>
      </c>
      <c r="C21" s="57">
        <f>'TCO-V1'!E70</f>
        <v/>
      </c>
      <c r="D21" s="57">
        <f>'TCO-V2'!E70</f>
        <v/>
      </c>
      <c r="E21" s="57">
        <f>'TCO-V3'!E70</f>
        <v/>
      </c>
      <c r="F21" t="inlineStr"/>
    </row>
    <row r="24">
      <c r="B24" s="58" t="inlineStr">
        <is>
          <t>Стоимость ошибки: построили под 10M (V3), пришло 50k</t>
        </is>
      </c>
    </row>
    <row r="25">
      <c r="B25" t="inlineStr">
        <is>
          <t>Год 1, блоки 1, 2, 4, 5 с резервом: V3 минус V1</t>
        </is>
      </c>
    </row>
    <row r="26">
      <c r="B26" t="inlineStr">
        <is>
          <t>Год 1 без транзакционных, $ (V1 | V3)</t>
        </is>
      </c>
      <c r="C26" s="53">
        <f>('TCO-V1'!E15+'TCO-V1'!E24+'TCO-V1'!E40+'TCO-V1'!E48)*(1+Допущения!$C$17)</f>
        <v/>
      </c>
      <c r="E26" s="53">
        <f>('TCO-V3'!E15+'TCO-V3'!E24+'TCO-V3'!E40+'TCO-V3'!E48)*(1+Допущения!$C$17)</f>
        <v/>
      </c>
    </row>
    <row r="27">
      <c r="B27" t="inlineStr">
        <is>
          <t>Потрачено впустую в Год 1, $</t>
        </is>
      </c>
      <c r="C27" s="53">
        <f>E26-C26</f>
        <v/>
      </c>
    </row>
    <row r="28">
      <c r="B28" t="inlineStr">
        <is>
          <t>+ невозвратная реклама при срыве 15.10 (А2), $</t>
        </is>
      </c>
      <c r="C28" s="53" t="n">
        <v>180000</v>
      </c>
    </row>
    <row r="29">
      <c r="B29" t="inlineStr">
        <is>
          <t>Итого цена ошибки «строим большое», $</t>
        </is>
      </c>
      <c r="C29" s="53">
        <f>C27+C28</f>
        <v/>
      </c>
    </row>
    <row r="31">
      <c r="B31" s="58" t="inlineStr">
        <is>
          <t>Обратная ошибка: построили V1, а рост быстрее плана</t>
        </is>
      </c>
    </row>
    <row r="32">
      <c r="B32" t="inlineStr">
        <is>
          <t>Выделение 2-3 модулей в сервисы: 3 инженера × 4 мес × $5k, $</t>
        </is>
      </c>
      <c r="C32" s="53" t="n">
        <v>60000</v>
      </c>
    </row>
    <row r="33">
      <c r="B33" t="inlineStr">
        <is>
          <t>Мультирегион на год раньше плана (Год 2 вместо Год 3), $</t>
        </is>
      </c>
      <c r="C33" s="53" t="n">
        <v>20000</v>
      </c>
    </row>
    <row r="34">
      <c r="B34" t="inlineStr">
        <is>
          <t>2 SRE на год раньше плана, $</t>
        </is>
      </c>
      <c r="C34" s="53" t="n">
        <v>110000</v>
      </c>
    </row>
    <row r="35">
      <c r="B35" t="inlineStr">
        <is>
          <t>Итого цена ошибки «строим малое», $</t>
        </is>
      </c>
      <c r="C35" s="53">
        <f>SUM(C32:C34)</f>
        <v/>
      </c>
    </row>
    <row r="37">
      <c r="B37" s="58" t="inlineStr">
        <is>
          <t>Точка безубыточности по цене минуты простоя</t>
        </is>
      </c>
    </row>
    <row r="38">
      <c r="B38" t="inlineStr">
        <is>
          <t>При какой цене минуты дорогой вариант окупает себя меньшим простоем, $/мин</t>
        </is>
      </c>
      <c r="D38" s="53">
        <f>(('TCO-V2'!J15+'TCO-V2'!J24+'TCO-V2'!J40+'TCO-V2'!J48)-('TCO-V1'!J15+'TCO-V1'!J24+'TCO-V1'!J40+'TCO-V1'!J48))*(1+Допущения!$C$17)/(C18-D18)</f>
        <v/>
      </c>
      <c r="E38" s="53">
        <f>(('TCO-V3'!J15+'TCO-V3'!J24+'TCO-V3'!J40+'TCO-V3'!J48)-('TCO-V1'!J15+'TCO-V1'!J24+'TCO-V1'!J40+'TCO-V1'!J48))*(1+Допущения!$C$17)/(C18-E18)</f>
        <v/>
      </c>
    </row>
    <row r="39">
      <c r="B39" t="inlineStr">
        <is>
          <t>Каждый вариант против V1. Инвестор: $12 000 (А1). Средний GMV в минуту: Год 1 $46, Год 5 $1 600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workbookViewId="0">
      <pane xSplit="2" ySplit="6" topLeftCell="C7" activePane="bottomRight" state="frozen"/>
      <selection pane="bottomRight" activeCell="C7" sqref="C7"/>
      <selection pane="bottomLeft" activeCell="A7" sqref="A7"/>
      <selection pane="topRight" activeCell="C1" sqref="C1"/>
    </sheetView>
  </sheetViews>
  <sheetFormatPr baseColWidth="8" defaultColWidth="14.42578125" defaultRowHeight="15" customHeight="1"/>
  <cols>
    <col width="3" customWidth="1" style="33" min="1" max="1"/>
    <col width="42" customWidth="1" style="33" min="2" max="2"/>
    <col width="15" customWidth="1" style="33" min="3" max="7"/>
    <col width="52" customWidth="1" style="33" min="8" max="8"/>
    <col width="8.7109375" customWidth="1" style="33" min="9" max="26"/>
  </cols>
  <sheetData>
    <row r="2">
      <c r="B2" s="1" t="inlineStr">
        <is>
          <t>Допущения модели TCO — Africa Delivery</t>
        </is>
      </c>
    </row>
    <row r="3">
      <c r="B3" s="6" t="inlineStr">
        <is>
          <t>Заполняются только ячейки с жёлтой заливкой. Все числа ниже — пример, заменить своими.</t>
        </is>
      </c>
    </row>
    <row r="5">
      <c r="B5" s="7" t="inlineStr">
        <is>
          <t>1. Драйверы бизнеса — заполнить</t>
        </is>
      </c>
      <c r="C5" s="8" t="n"/>
      <c r="D5" s="8" t="n"/>
      <c r="E5" s="8" t="n"/>
      <c r="F5" s="8" t="n"/>
      <c r="G5" s="8" t="n"/>
      <c r="H5" s="8" t="n"/>
    </row>
    <row r="6">
      <c r="B6" s="9" t="inlineStr">
        <is>
          <t>Показатель</t>
        </is>
      </c>
      <c r="C6" s="9" t="inlineStr">
        <is>
          <t>Год 1</t>
        </is>
      </c>
      <c r="D6" s="9" t="inlineStr">
        <is>
          <t>Год 2</t>
        </is>
      </c>
      <c r="E6" s="9" t="inlineStr">
        <is>
          <t>Год 3</t>
        </is>
      </c>
      <c r="F6" s="9" t="inlineStr">
        <is>
          <t>Год 4</t>
        </is>
      </c>
      <c r="G6" s="9" t="inlineStr">
        <is>
          <t>Год 5</t>
        </is>
      </c>
      <c r="H6" s="9" t="inlineStr">
        <is>
          <t>Комментарий / источник</t>
        </is>
      </c>
    </row>
    <row r="7">
      <c r="B7" s="10" t="inlineStr">
        <is>
          <t>Активные пользователи (на конец года)</t>
        </is>
      </c>
      <c r="C7" s="11" t="n">
        <v>1000000</v>
      </c>
      <c r="D7" s="11" t="n">
        <v>2500000</v>
      </c>
      <c r="E7" s="11" t="n">
        <v>5000000</v>
      </c>
      <c r="F7" s="11" t="n">
        <v>7000000</v>
      </c>
      <c r="G7" s="11" t="n">
        <v>9000000</v>
      </c>
      <c r="H7" s="34" t="inlineStr">
        <is>
          <t>Цель 12 мес: 1M+ пользователей (ЦБ). Далее 12-15 стран к Год 3 (А1). Не 10M (А5)</t>
        </is>
      </c>
    </row>
    <row r="8">
      <c r="B8" s="10" t="inlineStr">
        <is>
          <t>Число заказов в год</t>
        </is>
      </c>
      <c r="C8" s="11" t="n">
        <v>1200000</v>
      </c>
      <c r="D8" s="11" t="n">
        <v>6000000</v>
      </c>
      <c r="E8" s="11" t="n">
        <v>15000000</v>
      </c>
      <c r="F8" s="11" t="n">
        <v>25000000</v>
      </c>
      <c r="G8" s="11" t="n">
        <v>35000000</v>
      </c>
      <c r="H8" s="34" t="inlineStr">
        <is>
          <t>Месяц 1: ~20k заказов, месяц 12: ~250k заказов в месяц. Далее рост по странам</t>
        </is>
      </c>
    </row>
    <row r="9">
      <c r="B9" s="10" t="inlineStr">
        <is>
          <t>Средний чек (AOV), $</t>
        </is>
      </c>
      <c r="C9" s="13" t="n">
        <v>20</v>
      </c>
      <c r="D9" s="13" t="n">
        <v>21</v>
      </c>
      <c r="E9" s="13" t="n">
        <v>22</v>
      </c>
      <c r="F9" s="13" t="n">
        <v>23</v>
      </c>
      <c r="G9" s="13" t="n">
        <v>24</v>
      </c>
      <c r="H9" s="34" t="inlineStr">
        <is>
          <t>Ставка на низкую цену (ЦБ). Смартфоны дешевле $150 (А2)</t>
        </is>
      </c>
    </row>
    <row r="10">
      <c r="B10" s="14" t="inlineStr">
        <is>
          <t>GMV, $ в год (расчёт)</t>
        </is>
      </c>
      <c r="C10" s="15">
        <f>C8*C9</f>
        <v/>
      </c>
      <c r="D10" s="15">
        <f>D8*D9</f>
        <v/>
      </c>
      <c r="E10" s="15">
        <f>E8*E9</f>
        <v/>
      </c>
      <c r="F10" s="15">
        <f>F8*F9</f>
        <v/>
      </c>
      <c r="G10" s="15">
        <f>G8*G9</f>
        <v/>
      </c>
      <c r="H10" s="34" t="inlineStr">
        <is>
          <t>Расчёт: заказы × средний чек</t>
        </is>
      </c>
    </row>
    <row r="12">
      <c r="B12" s="7" t="inlineStr">
        <is>
          <t>2. Финансовые допущения — заполнить</t>
        </is>
      </c>
      <c r="C12" s="8" t="n"/>
      <c r="D12" s="8" t="n"/>
      <c r="E12" s="8" t="n"/>
      <c r="F12" s="8" t="n"/>
      <c r="G12" s="8" t="n"/>
      <c r="H12" s="8" t="n"/>
    </row>
    <row r="13">
      <c r="B13" s="9" t="inlineStr">
        <is>
          <t>Параметр</t>
        </is>
      </c>
      <c r="C13" s="9" t="inlineStr">
        <is>
          <t>Значение</t>
        </is>
      </c>
      <c r="D13" s="9" t="n"/>
      <c r="E13" s="9" t="n"/>
      <c r="F13" s="9" t="n"/>
      <c r="G13" s="9" t="n"/>
      <c r="H13" s="9" t="inlineStr">
        <is>
          <t>Комментарий / источник</t>
        </is>
      </c>
    </row>
    <row r="14">
      <c r="B14" s="10" t="inlineStr">
        <is>
          <t>Инфляция затрат, % в год</t>
        </is>
      </c>
      <c r="C14" s="18" t="n">
        <v>0.08</v>
      </c>
      <c r="H14" s="34" t="inlineStr">
        <is>
          <t>Применяется к статьям с драйвером «инфляция»</t>
        </is>
      </c>
    </row>
    <row r="15">
      <c r="B15" s="10" t="inlineStr">
        <is>
          <t>Рост ФОТ, % в год</t>
        </is>
      </c>
      <c r="C15" s="18" t="n">
        <v>0.1</v>
      </c>
      <c r="H15" s="34" t="inlineStr">
        <is>
          <t>Рост ставок контракторов</t>
        </is>
      </c>
    </row>
    <row r="16">
      <c r="B16" s="10" t="inlineStr">
        <is>
          <t>Ставка дисконтирования, % в год</t>
        </is>
      </c>
      <c r="C16" s="18" t="n">
        <v>0.25</v>
      </c>
      <c r="H16" s="34" t="inlineStr">
        <is>
          <t>Runway 9 месяцев (А6): риск выше стандартного стартапа</t>
        </is>
      </c>
    </row>
    <row r="17">
      <c r="B17" s="10" t="inlineStr">
        <is>
          <t>Резерв на непредвиденное (contingency), %</t>
        </is>
      </c>
      <c r="C17" s="18" t="n">
        <v>0.15</v>
      </c>
      <c r="H17" s="34" t="inlineStr">
        <is>
          <t>Надбавка к прямым затратам</t>
        </is>
      </c>
    </row>
    <row r="18">
      <c r="B18" s="10" t="inlineStr">
        <is>
          <t>Бюджет CFO на облако, $/мес</t>
        </is>
      </c>
      <c r="C18" s="17" t="n">
        <v>5000</v>
      </c>
      <c r="H18" s="34" t="inlineStr">
        <is>
          <t>Жёсткий потолок на всё техническое, включая SaaS (А6). $9k - не для разработки</t>
        </is>
      </c>
    </row>
    <row r="19">
      <c r="B19" s="10" t="inlineStr">
        <is>
          <t>Стоимость минуты простоя, $</t>
        </is>
      </c>
      <c r="C19" s="17" t="n">
        <v>12000</v>
      </c>
      <c r="H19" s="34" t="inlineStr">
        <is>
          <t>Оценка инвестора (А1). Только справочно: соответствует GMV $6,3 млрд в год</t>
        </is>
      </c>
    </row>
    <row r="20">
      <c r="B20" s="10" t="inlineStr">
        <is>
          <t>Целевой SLO (доступность), %</t>
        </is>
      </c>
      <c r="C20" s="19" t="n">
        <v>0.9999</v>
      </c>
      <c r="H20" s="34" t="inlineStr">
        <is>
          <t>Справочно. В расчёте используется SLO по годам на листе варианта (строка 80)</t>
        </is>
      </c>
    </row>
    <row r="21" ht="15.75" customHeight="1" s="33">
      <c r="B21" s="10" t="inlineStr">
        <is>
          <t>Учитывать стоимость простоя в TCO (1 — да, 0 — нет)</t>
        </is>
      </c>
      <c r="C21" s="20" t="n">
        <v>1</v>
      </c>
      <c r="H21" s="34" t="inlineStr">
        <is>
          <t>Переключатель для сценарного анализа</t>
        </is>
      </c>
    </row>
    <row r="22" ht="15.75" customHeight="1" s="33">
      <c r="B22" t="inlineStr">
        <is>
          <t>Пиковый коэффициент потерь при простое</t>
        </is>
      </c>
      <c r="C22" s="20" t="n">
        <v>3</v>
      </c>
      <c r="H22" t="inlineStr">
        <is>
          <t>Простой чаще случается в пик (распродажа, реклама): потери × 3 к среднему GMV/мин</t>
        </is>
      </c>
    </row>
    <row r="23" ht="15.75" customHeight="1" s="33">
      <c r="B23" s="7" t="inlineStr">
        <is>
          <t>3. Индексы роста — расчёт, не редактировать</t>
        </is>
      </c>
      <c r="C23" s="8" t="n"/>
      <c r="D23" s="8" t="n"/>
      <c r="E23" s="8" t="n"/>
      <c r="F23" s="8" t="n"/>
      <c r="G23" s="8" t="n"/>
      <c r="H23" s="8" t="n"/>
    </row>
    <row r="24" ht="15.75" customHeight="1" s="33">
      <c r="B24" s="9" t="inlineStr">
        <is>
          <t>Драйвер</t>
        </is>
      </c>
      <c r="C24" s="9" t="inlineStr">
        <is>
          <t>Год 1</t>
        </is>
      </c>
      <c r="D24" s="9" t="inlineStr">
        <is>
          <t>Год 2</t>
        </is>
      </c>
      <c r="E24" s="9" t="inlineStr">
        <is>
          <t>Год 3</t>
        </is>
      </c>
      <c r="F24" s="9" t="inlineStr">
        <is>
          <t>Год 4</t>
        </is>
      </c>
      <c r="G24" s="9" t="inlineStr">
        <is>
          <t>Год 5</t>
        </is>
      </c>
      <c r="H24" s="9" t="inlineStr">
        <is>
          <t>Как считается</t>
        </is>
      </c>
    </row>
    <row r="25" ht="15.75" customHeight="1" s="33">
      <c r="B25" s="10" t="inlineStr">
        <is>
          <t>фикс</t>
        </is>
      </c>
      <c r="C25" s="21" t="n">
        <v>1</v>
      </c>
      <c r="D25" s="21" t="n">
        <v>1</v>
      </c>
      <c r="E25" s="21" t="n">
        <v>1</v>
      </c>
      <c r="F25" s="21" t="n">
        <v>1</v>
      </c>
      <c r="G25" s="21" t="n">
        <v>1</v>
      </c>
      <c r="H25" s="34" t="inlineStr">
        <is>
          <t>Затраты не меняются по годам</t>
        </is>
      </c>
    </row>
    <row r="26" ht="15.75" customHeight="1" s="33">
      <c r="B26" s="10" t="inlineStr">
        <is>
          <t>инфляция</t>
        </is>
      </c>
      <c r="C26" s="21" t="n">
        <v>1</v>
      </c>
      <c r="D26" s="21">
        <f>C26*(1+$C$14)</f>
        <v/>
      </c>
      <c r="E26" s="21">
        <f>D26*(1+$C$14)</f>
        <v/>
      </c>
      <c r="F26" s="21">
        <f>E26*(1+$C$14)</f>
        <v/>
      </c>
      <c r="G26" s="21">
        <f>F26*(1+$C$14)</f>
        <v/>
      </c>
      <c r="H26" s="34" t="inlineStr">
        <is>
          <t>Год N = Год N-1 × (1 + инфляция)</t>
        </is>
      </c>
    </row>
    <row r="27" ht="15.75" customHeight="1" s="33">
      <c r="B27" s="10" t="inlineStr">
        <is>
          <t>ФОТ</t>
        </is>
      </c>
      <c r="C27" s="21" t="n">
        <v>1</v>
      </c>
      <c r="D27" s="21">
        <f>C27*(1+$C$15)</f>
        <v/>
      </c>
      <c r="E27" s="21">
        <f>D27*(1+$C$15)</f>
        <v/>
      </c>
      <c r="F27" s="21">
        <f>E27*(1+$C$15)</f>
        <v/>
      </c>
      <c r="G27" s="21">
        <f>F27*(1+$C$15)</f>
        <v/>
      </c>
      <c r="H27" s="34" t="inlineStr">
        <is>
          <t>Год N = Год N-1 × (1 + рост ФОТ)</t>
        </is>
      </c>
    </row>
    <row r="28" ht="15.75" customHeight="1" s="33">
      <c r="B28" s="10" t="inlineStr">
        <is>
          <t>пользователи</t>
        </is>
      </c>
      <c r="C28" s="21">
        <f>C7/$C$7</f>
        <v/>
      </c>
      <c r="D28" s="21">
        <f>D7/$C$7</f>
        <v/>
      </c>
      <c r="E28" s="21">
        <f>E7/$C$7</f>
        <v/>
      </c>
      <c r="F28" s="21">
        <f>F7/$C$7</f>
        <v/>
      </c>
      <c r="G28" s="21">
        <f>G7/$C$7</f>
        <v/>
      </c>
      <c r="H28" s="34" t="inlineStr">
        <is>
          <t>Пропорционально числу активных пользователей</t>
        </is>
      </c>
    </row>
    <row r="29" ht="15.75" customHeight="1" s="33">
      <c r="B29" s="10" t="inlineStr">
        <is>
          <t>заказы</t>
        </is>
      </c>
      <c r="C29" s="21">
        <f>C8/$C$8</f>
        <v/>
      </c>
      <c r="D29" s="21">
        <f>D8/$C$8</f>
        <v/>
      </c>
      <c r="E29" s="21">
        <f>E8/$C$8</f>
        <v/>
      </c>
      <c r="F29" s="21">
        <f>F8/$C$8</f>
        <v/>
      </c>
      <c r="G29" s="21">
        <f>G8/$C$8</f>
        <v/>
      </c>
      <c r="H29" s="34" t="inlineStr">
        <is>
          <t>Пропорционально числу заказов</t>
        </is>
      </c>
    </row>
    <row r="30" ht="15.75" customHeight="1" s="33">
      <c r="B30" s="10" t="inlineStr">
        <is>
          <t>GMV</t>
        </is>
      </c>
      <c r="C30" s="21">
        <f>C10/$C$10</f>
        <v/>
      </c>
      <c r="D30" s="21">
        <f>D10/$C$10</f>
        <v/>
      </c>
      <c r="E30" s="21">
        <f>E10/$C$10</f>
        <v/>
      </c>
      <c r="F30" s="21">
        <f>F10/$C$10</f>
        <v/>
      </c>
      <c r="G30" s="21">
        <f>G10/$C$10</f>
        <v/>
      </c>
      <c r="H30" s="34" t="inlineStr">
        <is>
          <t>Пропорционально обороту</t>
        </is>
      </c>
    </row>
    <row r="31" ht="15.75" customHeight="1" s="33"/>
    <row r="32" ht="15" customHeight="1" s="33">
      <c r="B32" s="59" t="inlineStr">
        <is>
      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      </is>
      </c>
    </row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32:H33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0"/>
  <sheetViews>
    <sheetView showGridLines="0" workbookViewId="0">
      <pane xSplit="2" ySplit="5" topLeftCell="C6" activePane="bottomRight" state="frozen"/>
      <selection pane="bottomRight" activeCell="C6" sqref="C6"/>
      <selection pane="bottomLeft" activeCell="A6" sqref="A6"/>
      <selection pane="topRight" activeCell="C1" sqref="C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V1 Модульный монолит на managed-сервисах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2900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AWS af-south-1: Fargate ARM 4 задачи × (1 vCPU, 2 ГБ) $156 + ALB $36 + NAT $53 = $245/мес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3200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RDS PostgreSQL db.t4g.large Multi-AZ $239 + 100 ГБ gp3 $30 = $270/мес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200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S3 300 ГБ × $0,0274 + запросы = $15/мес: фото 5000 SKU,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Африка: 3 ТБ/мес, 1 ТБ бесплатно, $0,11/ГБ + запросы = $265/мес</t>
        </is>
      </c>
    </row>
    <row r="11">
      <c r="B11" s="10" t="inlineStr">
        <is>
          <t>Очереди / стриминг (Kafka, SQS)</t>
        </is>
      </c>
      <c r="C11" s="16" t="inlineStr">
        <is>
          <t>заказы</t>
        </is>
      </c>
      <c r="D11" s="17" t="n">
        <v>200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SQS для уведомлений и вебхуков, ~30 млн запросов/мес. Оценка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1000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Warm standby: реплика db.t4g.medium во втором регионе + копии снапшотов = $80/мес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900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Layer3 Лагос: 2 ВМ 2 vCPU / 4 ГБ / 128 ГБ по ₦39 903 + бэкап = $75/мес. Хранилище ПДн</t>
        </is>
      </c>
    </row>
    <row r="14">
      <c r="B14" s="10" t="inlineStr">
        <is>
          <t>Мультирегион с Год 3 (по триггеру)</t>
        </is>
      </c>
      <c r="C14" s="16" t="inlineStr">
        <is>
          <t>фикс</t>
        </is>
      </c>
      <c r="D14" s="17" t="n"/>
      <c r="E14" s="17" t="n">
        <v>0</v>
      </c>
      <c r="F14" s="17" t="n">
        <v>0</v>
      </c>
      <c r="G14" s="17" t="n">
        <v>35000</v>
      </c>
      <c r="H14" s="17" t="n">
        <v>48000</v>
      </c>
      <c r="I14" s="17" t="n">
        <v>62000</v>
      </c>
      <c r="J14" s="22">
        <f>SUM(E14:I14)</f>
        <v/>
      </c>
      <c r="K14" s="23" t="n"/>
      <c r="L14" s="24" t="inlineStr">
        <is>
          <t>Копия compute и БД во втором регионе с Год 3 по триггеру нагрузки. Числа введены вручную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1800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Managed Grafana + OpenTelemetry, базовый тариф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1200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 + Actions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1800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секреты, сертификаты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1200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300000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5 контракторов × $60k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60000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1 DevOps: БД и очереди эксплуатирует провайдер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24000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Надбавка за ротацию дежурств внутри 6 контракторов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платформу. Одинаково во всех вариантах</t>
        </is>
      </c>
    </row>
    <row r="39" ht="15.75" customHeight="1" s="33">
      <c r="B39" s="10" t="inlineStr">
        <is>
          <t>Усиление SRE с Год 3</t>
        </is>
      </c>
      <c r="C39" s="16" t="inlineStr">
        <is>
          <t>фикс</t>
        </is>
      </c>
      <c r="D39" s="17" t="n"/>
      <c r="E39" s="17" t="n">
        <v>0</v>
      </c>
      <c r="F39" s="17" t="n">
        <v>0</v>
      </c>
      <c r="G39" s="17" t="n">
        <v>120000</v>
      </c>
      <c r="H39" s="17" t="n">
        <v>132000</v>
      </c>
      <c r="I39" s="17" t="n">
        <v>145000</v>
      </c>
      <c r="J39" s="22">
        <f>SUM(E39:I39)</f>
        <v/>
      </c>
      <c r="K39" s="23" t="n"/>
      <c r="L39" s="24" t="inlineStr">
        <is>
          <t>+2 SRE при переходе на мультирегион. Числа введены вручную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NDPR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10000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0</v>
      </c>
      <c r="E46" s="22">
        <f>IF($D46="","",$D46*INDEX(Допущения!$C$25:$G$30,MATCH($C46,Допущения!$B$25:$B$30,0),1))</f>
        <v/>
      </c>
      <c r="F46" s="22">
        <f>IF($D46="","",$D46*INDEX(Допущения!$C$25:$G$30,MATCH($C46,Допущения!$B$25:$B$30,0),2))</f>
        <v/>
      </c>
      <c r="G46" s="22">
        <f>IF($D46="","",$D46*INDEX(Допущения!$C$25:$G$30,MATCH($C46,Допущения!$B$25:$B$30,0),3))</f>
        <v/>
      </c>
      <c r="H46" s="22">
        <f>IF($D46="","",$D46*INDEX(Допущения!$C$25:$G$30,MATCH($C46,Допущения!$B$25:$B$30,0),4))</f>
        <v/>
      </c>
      <c r="I46" s="22">
        <f>IF($D46="","",$D46*INDEX(Допущения!$C$25:$G$30,MATCH($C46,Допущения!$B$25:$B$30,0),5))</f>
        <v/>
      </c>
      <c r="J46" s="22">
        <f>SUM(E46:I46)</f>
        <v/>
      </c>
      <c r="K46" s="23" t="n"/>
      <c r="L46" s="24" t="inlineStr">
        <is>
          <t>Найм заморожен до декабря (А6)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>IF($D47="","",$D47*INDEX(Допущения!$C$25:$G$30,MATCH($C47,Допущения!$B$25:$B$30,0),1))</f>
        <v/>
      </c>
      <c r="F47" s="22">
        <f>IF($D47="","",$D47*INDEX(Допущения!$C$25:$G$30,MATCH($C47,Допущения!$B$25:$B$30,0),2))</f>
        <v/>
      </c>
      <c r="G47" s="22">
        <f>IF($D47="","",$D47*INDEX(Допущения!$C$25:$G$30,MATCH($C47,Допущения!$B$25:$B$30,0),3))</f>
        <v/>
      </c>
      <c r="H47" s="22">
        <f>IF($D47="","",$D47*INDEX(Допущения!$C$25:$G$30,MATCH($C47,Допущения!$B$25:$B$30,0),4))</f>
        <v/>
      </c>
      <c r="I47" s="22">
        <f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V1 дешевле всех на горизонте 5 лет за счёт ФОТ: 6 человек вместо 9 и 16. Облако + SaaS в Год 1 укладывается в $5k/мес. Цена - более низкий SLO в Год 1-2. Переход на мультирегион и усиление SRE заложены с Год 3 по триггеру нагрузки.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</v>
      </c>
      <c r="F80" s="75" t="n">
        <v>0.9995000000000001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2">
    <dataValidation sqref="C6:C51" showDropDown="0" showInputMessage="0" showErrorMessage="0" allowBlank="1" type="list">
      <formula1>"фикс,инфляция,ФОТ,пользователи,заказы,GMV"</formula1>
    </dataValidation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V2 Сервисная архитектура, 6-8 сервисов на managed Kubernetes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7600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EKS $73 + 6 нод m7g.large × $79 + ALB $36 + NAT $53 = $635/мес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9700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3 × RDS PostgreSQL db.t4g.large Multi-AZ с хранилищем = $810/мес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200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S3: фото,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Африка, как в V1</t>
        </is>
      </c>
    </row>
    <row r="11">
      <c r="B11" s="10" t="inlineStr">
        <is>
          <t>Очереди / стриминг (Kafka, SQS)</t>
        </is>
      </c>
      <c r="C11" s="16" t="inlineStr">
        <is>
          <t>заказы</t>
        </is>
      </c>
      <c r="D11" s="17" t="n">
        <v>7500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MSK 3 брокера kafka.m7g.large × $0,27/ч + 300 ГБ = $627/мес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5200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Warm standby: EKS + 2 ноды + 3 реплики db.t4g.medium во втором регионе = $431/мес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1300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Layer3 Лагос: 2 ВМ 4 vCPU / 8 ГБ + бэкап = $107/мес. Нода и хранилище ПДн</t>
        </is>
      </c>
    </row>
    <row r="14">
      <c r="B14" s="10" t="inlineStr">
        <is>
          <t>Мультирегион с Год 3</t>
        </is>
      </c>
      <c r="C14" s="16" t="inlineStr">
        <is>
          <t>фикс</t>
        </is>
      </c>
      <c r="D14" s="17" t="n"/>
      <c r="E14" s="17" t="n">
        <v>0</v>
      </c>
      <c r="F14" s="17" t="n">
        <v>0</v>
      </c>
      <c r="G14" s="17" t="n">
        <v>75000</v>
      </c>
      <c r="H14" s="17" t="n">
        <v>100000</v>
      </c>
      <c r="I14" s="17" t="n">
        <v>130000</v>
      </c>
      <c r="J14" s="22">
        <f>SUM(E14:I14)</f>
        <v/>
      </c>
      <c r="K14" s="23" t="n"/>
      <c r="L14" s="24" t="inlineStr">
        <is>
          <t>Копия кластера и БД во втором регионе с Год 3. Числа введены вручную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6000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Managed observability: метрики, логи, трейсы по 6-8 сервисам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2400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 + Actions, реестр образов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3600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секреты, политики кластера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1800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420000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7 разработчиков × $60k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120000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2 SRE: кластер, Kafka, сеть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48000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Ротация дежурств 24/7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</t>
        </is>
      </c>
    </row>
    <row r="39" ht="15.75" customHeight="1" s="33">
      <c r="B39" s="10" t="inlineStr">
        <is>
          <t>Усиление SRE с Год 3</t>
        </is>
      </c>
      <c r="C39" s="16" t="inlineStr">
        <is>
          <t>фикс</t>
        </is>
      </c>
      <c r="D39" s="17" t="n"/>
      <c r="E39" s="17" t="n">
        <v>0</v>
      </c>
      <c r="F39" s="17" t="n">
        <v>0</v>
      </c>
      <c r="G39" s="17" t="n">
        <v>60000</v>
      </c>
      <c r="H39" s="17" t="n">
        <v>66000</v>
      </c>
      <c r="I39" s="17" t="n">
        <v>72600</v>
      </c>
      <c r="J39" s="22">
        <f>SUM(E39:I39)</f>
        <v/>
      </c>
      <c r="K39" s="23" t="n"/>
      <c r="L39" s="24" t="inlineStr">
        <is>
          <t>+1 SRE при мультирегионе. Числа введены вручную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12000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пентест, поверхность шире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20000</v>
      </c>
      <c r="E46" s="22">
        <f>IF($D46="","",$D46*INDEX(Допущения!$C$25:$G$30,MATCH($C46,Допущения!$B$25:$B$30,0),1))</f>
        <v/>
      </c>
      <c r="F46" s="17" t="n">
        <v>0</v>
      </c>
      <c r="G46" s="17" t="n">
        <v>0</v>
      </c>
      <c r="H46" s="17" t="n">
        <v>0</v>
      </c>
      <c r="I46" s="17" t="n">
        <v>0</v>
      </c>
      <c r="J46" s="22">
        <f>SUM(E46:I46)</f>
        <v/>
      </c>
      <c r="K46" s="23" t="n"/>
      <c r="L46" s="24" t="inlineStr">
        <is>
          <t>Найм 3 контракторов сверх заморозки (А6). Только Год 1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>IF($D47="","",$D47*INDEX(Допущения!$C$25:$G$30,MATCH($C47,Допущения!$B$25:$B$30,0),1))</f>
        <v/>
      </c>
      <c r="F47" s="22">
        <f>IF($D47="","",$D47*INDEX(Допущения!$C$25:$G$30,MATCH($C47,Допущения!$B$25:$B$30,0),2))</f>
        <v/>
      </c>
      <c r="G47" s="22">
        <f>IF($D47="","",$D47*INDEX(Допущения!$C$25:$G$30,MATCH($C47,Допущения!$B$25:$B$30,0),3))</f>
        <v/>
      </c>
      <c r="H47" s="22">
        <f>IF($D47="","",$D47*INDEX(Допущения!$C$25:$G$30,MATCH($C47,Допущения!$B$25:$B$30,0),4))</f>
        <v/>
      </c>
      <c r="I47" s="22">
        <f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V2 дороже V1 за счёт 3 дополнительных людей и кластера. Облако + SaaS в Год 1 укладывается в $5k/мес, но запас вдвое меньше, чем у V1. Выигрыш в доступности Год 1-2 не окупает разницу в ФОТ на объёмах пилота.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0.9995000000000001</v>
      </c>
      <c r="F80" s="75" t="n">
        <v>0.9995000000000001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V3 Микросервисы по письму CTO: 40-50 сервисов, 3 кластера, Istio, Kafka, Oracle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16100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EKS $73 + 15 нод m7g.large под 40-50 сервисов и Istio sidecars + ALB + NAT = $1 344/мес (А5)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10700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Oracle на 2 × r6i.xlarge $491 + PostgreSQL на 3 × m7g.large $236 + EBS gp3 $168 = $895/мес (А5)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700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 1 ТБ + снапшоты EBS трёх кластеров = $60/мес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Африка, как в V1</t>
        </is>
      </c>
    </row>
    <row r="11">
      <c r="B11" s="10" t="inlineStr">
        <is>
          <t>Очереди / стриминг (Kafka, SQS)</t>
        </is>
      </c>
      <c r="C11" s="16" t="inlineStr">
        <is>
          <t>пользователи</t>
        </is>
      </c>
      <c r="D11" s="17" t="n">
        <v>7200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Self-hosted Kafka: 6 брокеров m7g.large (3 × 2 региона) + EBS 1,2 ТБ = $600/мес (А5)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26900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Второй регион active-active: копия кластера и БД = $2 239/мес, RPO 0 (А5)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6600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Нигерия: 3 ВМ 8 vCPU / 32 ГБ у Layer3 = $554/мес. Нижняя граница: цены колокации не опубликованы (А5)</t>
        </is>
      </c>
    </row>
    <row r="14">
      <c r="B14" s="10" t="n"/>
      <c r="C14" s="16" t="inlineStr">
        <is>
          <t>фикс</t>
        </is>
      </c>
      <c r="D14" s="17" t="n"/>
      <c r="E14" s="22">
        <f>IF($D14="","",$D14*INDEX(Допущения!$C$25:$G$30,MATCH($C14,Допущения!$B$25:$B$30,0),1))</f>
        <v/>
      </c>
      <c r="F14" s="22">
        <f>IF($D14="","",$D14*INDEX(Допущения!$C$25:$G$30,MATCH($C14,Допущения!$B$25:$B$30,0),2))</f>
        <v/>
      </c>
      <c r="G14" s="22">
        <f>IF($D14="","",$D14*INDEX(Допущения!$C$25:$G$30,MATCH($C14,Допущения!$B$25:$B$30,0),3))</f>
        <v/>
      </c>
      <c r="H14" s="22">
        <f>IF($D14="","",$D14*INDEX(Допущения!$C$25:$G$30,MATCH($C14,Допущения!$B$25:$B$30,0),4))</f>
        <v/>
      </c>
      <c r="I14" s="22">
        <f>IF($D14="","",$D14*INDEX(Допущения!$C$25:$G$30,MATCH($C14,Допущения!$B$25:$B$30,0),5))</f>
        <v/>
      </c>
      <c r="J14" s="22">
        <f>SUM(E14:I14)</f>
        <v/>
      </c>
      <c r="K14" s="23" t="n"/>
      <c r="L14" s="24" t="inlineStr">
        <is>
          <t>Своя статья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4100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Self-hosted Prometheus, Loki, Jaeger, Grafana: 3 × m7g.large + EBS 1 ТБ = $341/мес (А5)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3600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GitHub, ArgoCD, реестр образов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6000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Istio mTLS, Vault, WAF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2400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inlineStr">
        <is>
          <t>Поддержка Oracle EE</t>
        </is>
      </c>
      <c r="C23" s="16" t="inlineStr">
        <is>
          <t>инфляция</t>
        </is>
      </c>
      <c r="D23" s="17" t="n">
        <v>20900</v>
      </c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Поддержка Oracle EE: 22% от лицензии в год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720000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12 разработчиков: ядро, своя логистика (4), платёжная оркестрация (2) (А5)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240000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4 платформенных инженера: multi-cluster, Istio, Kafka, Oracle DBA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96000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Выделенная ротация 24/7 на трёх кластерах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</t>
        </is>
      </c>
    </row>
    <row r="39" ht="15.75" customHeight="1" s="33">
      <c r="B39" s="10" t="n"/>
      <c r="C39" s="16" t="inlineStr">
        <is>
          <t>фикс</t>
        </is>
      </c>
      <c r="D39" s="17" t="n"/>
      <c r="E39" s="22">
        <f>IF($D39="","",$D39*INDEX(Допущения!$C$25:$G$30,MATCH($C39,Допущения!$B$25:$B$30,0),1))</f>
        <v/>
      </c>
      <c r="F39" s="22">
        <f>IF($D39="","",$D39*INDEX(Допущения!$C$25:$G$30,MATCH($C39,Допущения!$B$25:$B$30,0),2))</f>
        <v/>
      </c>
      <c r="G39" s="22">
        <f>IF($D39="","",$D39*INDEX(Допущения!$C$25:$G$30,MATCH($C39,Допущения!$B$25:$B$30,0),3))</f>
        <v/>
      </c>
      <c r="H39" s="22">
        <f>IF($D39="","",$D39*INDEX(Допущения!$C$25:$G$30,MATCH($C39,Допущения!$B$25:$B$30,0),4))</f>
        <v/>
      </c>
      <c r="I39" s="22">
        <f>IF($D39="","",$D39*INDEX(Допущения!$C$25:$G$30,MATCH($C39,Допущения!$B$25:$B$30,0),5))</f>
        <v/>
      </c>
      <c r="J39" s="22">
        <f>SUM(E39:I39)</f>
        <v/>
      </c>
      <c r="K39" s="23" t="n"/>
      <c r="L39" s="24" t="inlineStr">
        <is>
          <t>Своя статья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15000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пентест, 40-50 сервисов и mesh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40000</v>
      </c>
      <c r="E46" s="22">
        <f>IF($D46="","",$D46*INDEX(Допущения!$C$25:$G$30,MATCH($C46,Допущения!$B$25:$B$30,0),1))</f>
        <v/>
      </c>
      <c r="F46" s="17" t="n">
        <v>0</v>
      </c>
      <c r="G46" s="17" t="n">
        <v>0</v>
      </c>
      <c r="H46" s="17" t="n">
        <v>0</v>
      </c>
      <c r="I46" s="17" t="n">
        <v>0</v>
      </c>
      <c r="J46" s="22">
        <f>SUM(E46:I46)</f>
        <v/>
      </c>
      <c r="K46" s="23" t="n"/>
      <c r="L46" s="24" t="inlineStr">
        <is>
          <t>Найм 10 инженеров сверх заморозки, обучение Istio и Kafka. Только Год 1</t>
        </is>
      </c>
    </row>
    <row r="47" ht="15.75" customHeight="1" s="33">
      <c r="B47" s="10" t="inlineStr">
        <is>
          <t>Лицензия Oracle EE</t>
        </is>
      </c>
      <c r="C47" s="16" t="inlineStr">
        <is>
          <t>фикс</t>
        </is>
      </c>
      <c r="D47" s="17" t="n">
        <v>95000</v>
      </c>
      <c r="E47" s="22">
        <f>IF($D47="","",$D47*INDEX(Допущения!$C$25:$G$30,MATCH($C47,Допущения!$B$25:$B$30,0),1))</f>
        <v/>
      </c>
      <c r="F47" s="17" t="n">
        <v>0</v>
      </c>
      <c r="G47" s="17" t="n">
        <v>0</v>
      </c>
      <c r="H47" s="17" t="n">
        <v>0</v>
      </c>
      <c r="I47" s="17" t="n">
        <v>0</v>
      </c>
      <c r="J47" s="22">
        <f>SUM(E47:I47)</f>
        <v/>
      </c>
      <c r="K47" s="23" t="n"/>
      <c r="L47" s="24" t="inlineStr">
        <is>
          <t>Лицензия Oracle EE: 2 processor × $47 500 по прайс-листу. Только Год 1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V3 самый дорогой: ФОТ 16 человек против 6, облако + SaaS в Год 1 выше лимита CFO, лицензия Oracle. Ниже ожидаемые потери от простоя, но разница не покрывает перерасход. Запуск 15.10 невозможен: только логистика по оценке CTO занимает 6 месяцев (А5).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0.9999</v>
      </c>
      <c r="F80" s="75" t="n">
        <v>0.9999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2026-08-24T07:50:39Z</dcterms:created>
  <dcterms:modified xmlns:dcterms="http://purl.org/dc/terms/" xmlns:xsi="http://www.w3.org/2001/XMLSchema-instance" xsi:type="dcterms:W3CDTF">2026-10-05T17:59:26Z</dcterms:modified>
</cp:coreProperties>
</file>