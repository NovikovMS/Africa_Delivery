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Допущения" sheetId="3" state="visible" r:id="rId3"/>
    <sheet xmlns:r="http://schemas.openxmlformats.org/officeDocument/2006/relationships" name="TCO-V1" sheetId="4" state="visible" r:id="rId4"/>
    <sheet xmlns:r="http://schemas.openxmlformats.org/officeDocument/2006/relationships" name="TCO-V2" sheetId="5" state="visible" r:id="rId5"/>
    <sheet xmlns:r="http://schemas.openxmlformats.org/officeDocument/2006/relationships" name="TCO-V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6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  <sz val="11"/>
    </font>
    <font>
      <name val="Calibri"/>
      <color theme="1"/>
      <sz val="11"/>
    </font>
    <font>
      <name val="Arial"/>
      <i val="1"/>
      <color rgb="FF808080"/>
      <sz val="9"/>
    </font>
    <font>
      <name val="Arial"/>
      <b val="1"/>
      <color rgb="FFFFFFFF"/>
      <sz val="11"/>
    </font>
    <font>
      <name val="Arial"/>
      <b val="1"/>
      <color rgb="FFC00000"/>
      <sz val="10"/>
    </font>
    <font>
      <name val="Arial"/>
      <color rgb="FF0000FF"/>
      <sz val="10"/>
    </font>
    <font>
      <name val="Calibri"/>
      <color theme="1"/>
      <sz val="11"/>
      <scheme val="minor"/>
    </font>
    <font>
      <name val="Arial"/>
      <color rgb="FF008000"/>
      <sz val="10"/>
    </font>
    <font>
      <name val="Calibri"/>
      <sz val="11"/>
    </font>
    <font>
      <b val="1"/>
      <sz val="14"/>
    </font>
    <font>
      <b val="1"/>
      <color rgb="FF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1F38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10" fillId="0" borderId="1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2" borderId="1" pivotButton="0" quotePrefix="0" xfId="0"/>
    <xf numFmtId="0" fontId="6" fillId="0" borderId="0" pivotButton="0" quotePrefix="0" xfId="0"/>
    <xf numFmtId="0" fontId="4" fillId="2" borderId="2" pivotButton="0" quotePrefix="0" xfId="0"/>
    <xf numFmtId="0" fontId="5" fillId="2" borderId="2" pivotButton="0" quotePrefix="0" xfId="0"/>
    <xf numFmtId="0" fontId="7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3" fontId="9" fillId="4" borderId="2" pivotButton="0" quotePrefix="0" xfId="0"/>
    <xf numFmtId="0" fontId="6" fillId="0" borderId="0" applyAlignment="1" pivotButton="0" quotePrefix="0" xfId="0">
      <alignment vertical="top" wrapText="1"/>
    </xf>
    <xf numFmtId="164" fontId="9" fillId="4" borderId="2" pivotButton="0" quotePrefix="0" xfId="0"/>
    <xf numFmtId="0" fontId="2" fillId="0" borderId="2" pivotButton="0" quotePrefix="0" xfId="0"/>
    <xf numFmtId="165" fontId="2" fillId="0" borderId="2" pivotButton="0" quotePrefix="0" xfId="0"/>
    <xf numFmtId="0" fontId="9" fillId="4" borderId="2" pivotButton="0" quotePrefix="0" xfId="0"/>
    <xf numFmtId="165" fontId="9" fillId="4" borderId="2" pivotButton="0" quotePrefix="0" xfId="0"/>
    <xf numFmtId="166" fontId="9" fillId="4" borderId="2" pivotButton="0" quotePrefix="0" xfId="0"/>
    <xf numFmtId="167" fontId="9" fillId="4" borderId="2" pivotButton="0" quotePrefix="0" xfId="0"/>
    <xf numFmtId="1" fontId="9" fillId="4" borderId="2" pivotButton="0" quotePrefix="0" xfId="0"/>
    <xf numFmtId="2" fontId="3" fillId="0" borderId="2" pivotButton="0" quotePrefix="0" xfId="0"/>
    <xf numFmtId="165" fontId="3" fillId="0" borderId="2" pivotButton="0" quotePrefix="0" xfId="0"/>
    <xf numFmtId="0" fontId="5" fillId="0" borderId="2" pivotButton="0" quotePrefix="0" xfId="0"/>
    <xf numFmtId="0" fontId="6" fillId="0" borderId="2" applyAlignment="1" pivotButton="0" quotePrefix="0" xfId="0">
      <alignment vertical="top" wrapText="1"/>
    </xf>
    <xf numFmtId="0" fontId="2" fillId="5" borderId="2" pivotButton="0" quotePrefix="0" xfId="0"/>
    <xf numFmtId="0" fontId="5" fillId="5" borderId="2" pivotButton="0" quotePrefix="0" xfId="0"/>
    <xf numFmtId="165" fontId="2" fillId="5" borderId="2" pivotButton="0" quotePrefix="0" xfId="0"/>
    <xf numFmtId="166" fontId="2" fillId="5" borderId="2" pivotButton="0" quotePrefix="0" xfId="0"/>
    <xf numFmtId="0" fontId="10" fillId="0" borderId="0" pivotButton="0" quotePrefix="0" xfId="0"/>
    <xf numFmtId="165" fontId="11" fillId="0" borderId="2" pivotButton="0" quotePrefix="0" xfId="0"/>
    <xf numFmtId="168" fontId="11" fillId="0" borderId="2" pivotButton="0" quotePrefix="0" xfId="0"/>
    <xf numFmtId="0" fontId="8" fillId="0" borderId="0" applyAlignment="1" pivotButton="0" quotePrefix="0" xfId="0">
      <alignment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164" fontId="2" fillId="6" borderId="3" pivotButton="0" quotePrefix="0" xfId="0"/>
    <xf numFmtId="10" fontId="2" fillId="6" borderId="3" pivotButton="0" quotePrefix="0" xfId="0"/>
    <xf numFmtId="166" fontId="2" fillId="6" borderId="3" pivotButton="0" quotePrefix="0" xfId="0"/>
    <xf numFmtId="0" fontId="4" fillId="0" borderId="0" pivotButton="0" quotePrefix="0" xfId="0"/>
    <xf numFmtId="0" fontId="9" fillId="4" borderId="5" applyAlignment="1" pivotButton="0" quotePrefix="0" xfId="0">
      <alignment vertical="top" wrapText="1"/>
    </xf>
    <xf numFmtId="165" fontId="2" fillId="6" borderId="3" pivotButton="0" quotePrefix="0" xfId="0"/>
    <xf numFmtId="0" fontId="2" fillId="6" borderId="3" pivotButton="0" quotePrefix="0" xfId="0"/>
    <xf numFmtId="0" fontId="12" fillId="0" borderId="4" pivotButton="0" quotePrefix="0" xfId="0"/>
    <xf numFmtId="0" fontId="12" fillId="0" borderId="6" pivotButton="0" quotePrefix="0" xfId="0"/>
    <xf numFmtId="0" fontId="12" fillId="0" borderId="7" pivotButton="0" quotePrefix="0" xfId="0"/>
    <xf numFmtId="0" fontId="12" fillId="0" borderId="8" pivotButton="0" quotePrefix="0" xfId="0"/>
    <xf numFmtId="0" fontId="12" fillId="0" borderId="9" pivotButton="0" quotePrefix="0" xfId="0"/>
    <xf numFmtId="0" fontId="12" fillId="0" borderId="10" pivotButton="0" quotePrefix="0" xfId="0"/>
    <xf numFmtId="0" fontId="12" fillId="0" borderId="11" pivotButton="0" quotePrefix="0" xfId="0"/>
    <xf numFmtId="0" fontId="12" fillId="0" borderId="12" pivotButton="0" quotePrefix="0" xfId="0"/>
    <xf numFmtId="0" fontId="8" fillId="0" borderId="1" applyAlignment="1" pivotButton="0" quotePrefix="0" xfId="0">
      <alignment vertical="top" wrapText="1"/>
    </xf>
    <xf numFmtId="0" fontId="13" fillId="0" borderId="0" pivotButton="0" quotePrefix="0" xfId="0"/>
    <xf numFmtId="0" fontId="14" fillId="7" borderId="0" pivotButton="0" quotePrefix="0" xfId="0"/>
    <xf numFmtId="3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15" fillId="0" borderId="0" pivotButton="0" quotePrefix="0" xfId="0"/>
    <xf numFmtId="0" fontId="6" fillId="0" borderId="1" applyAlignment="1" pivotButton="0" quotePrefix="0" xfId="0">
      <alignment vertical="top" wrapText="1"/>
    </xf>
    <xf numFmtId="165" fontId="2" fillId="6" borderId="2" pivotButton="0" quotePrefix="0" xfId="0"/>
    <xf numFmtId="0" fontId="0" fillId="0" borderId="4" pivotButton="0" quotePrefix="0" xfId="0"/>
    <xf numFmtId="0" fontId="2" fillId="6" borderId="2" pivotButton="0" quotePrefix="0" xfId="0"/>
    <xf numFmtId="164" fontId="2" fillId="6" borderId="2" pivotButton="0" quotePrefix="0" xfId="0"/>
    <xf numFmtId="10" fontId="2" fillId="6" borderId="2" pivotButton="0" quotePrefix="0" xfId="0"/>
    <xf numFmtId="166" fontId="2" fillId="6" borderId="2" pivotButton="0" quotePrefix="0" xfId="0"/>
    <xf numFmtId="0" fontId="4" fillId="0" borderId="1" pivotButton="0" quotePrefix="0" xfId="0"/>
    <xf numFmtId="0" fontId="9" fillId="4" borderId="2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0" fontId="9" fillId="4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tabSelected="1" workbookViewId="0">
      <selection activeCell="A1" sqref="A1"/>
    </sheetView>
  </sheetViews>
  <sheetFormatPr baseColWidth="8" defaultColWidth="14.42578125" defaultRowHeight="15" customHeight="1"/>
  <cols>
    <col width="3" customWidth="1" style="33" min="1" max="1"/>
    <col width="46" customWidth="1" style="33" min="2" max="2"/>
    <col width="78" customWidth="1" style="33" min="3" max="3"/>
    <col width="8.7109375" customWidth="1" style="33" min="4" max="26"/>
  </cols>
  <sheetData>
    <row r="2">
      <c r="B2" s="1" t="inlineStr">
        <is>
          <t>Модель TCO (Total Cost of Ownership) — кейс «Africa Delivery», горизонт 5 лет</t>
        </is>
      </c>
    </row>
    <row r="3">
      <c r="B3" s="2" t="n"/>
      <c r="C3" s="3" t="n"/>
    </row>
    <row r="4">
      <c r="B4" s="4" t="inlineStr">
        <is>
          <t>Зачем этот файл</t>
        </is>
      </c>
      <c r="C4" s="5" t="n"/>
    </row>
    <row r="5" ht="30" customHeight="1" s="33">
      <c r="B5" s="2" t="inlineStr">
        <is>
          <t>Задача</t>
        </is>
      </c>
      <c r="C5" s="3" t="inlineStr">
        <is>
      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      </is>
      </c>
    </row>
    <row r="6" ht="30" customHeight="1" s="33">
      <c r="B6" s="2" t="inlineStr">
        <is>
          <t>Как использовать</t>
        </is>
      </c>
      <c r="C6" s="3" t="inlineStr">
        <is>
      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      </is>
      </c>
    </row>
    <row r="7">
      <c r="B7" s="2" t="n"/>
      <c r="C7" s="3" t="n"/>
    </row>
    <row r="8">
      <c r="B8" s="4" t="inlineStr">
        <is>
          <t>Цветовая легенда</t>
        </is>
      </c>
      <c r="C8" s="5" t="n"/>
    </row>
    <row r="9">
      <c r="B9" s="2" t="inlineStr">
        <is>
          <t>Синий текст на жёлтом фоне</t>
        </is>
      </c>
      <c r="C9" s="3" t="inlineStr">
        <is>
          <t>Ячейки для заполнения. Только их и редактируем.</t>
        </is>
      </c>
    </row>
    <row r="10">
      <c r="B10" s="2" t="inlineStr">
        <is>
          <t>Чёрный текст</t>
        </is>
      </c>
      <c r="C10" s="3" t="inlineStr">
        <is>
          <t>Формулы. Не трогаем — пересчитаются сами.</t>
        </is>
      </c>
    </row>
    <row r="11">
      <c r="B11" s="2" t="inlineStr">
        <is>
          <t>Зелёный текст</t>
        </is>
      </c>
      <c r="C11" s="3" t="inlineStr">
        <is>
          <t>Ссылка на лист «Допущения».</t>
        </is>
      </c>
    </row>
    <row r="12">
      <c r="B12" s="2" t="n"/>
      <c r="C12" s="3" t="n"/>
    </row>
    <row r="13">
      <c r="B13" s="4" t="inlineStr">
        <is>
          <t>Порядок работы</t>
        </is>
      </c>
      <c r="C13" s="5" t="n"/>
    </row>
    <row r="14" ht="30" customHeight="1" s="33">
      <c r="B14" s="2" t="inlineStr">
        <is>
          <t>Шаг 1</t>
        </is>
      </c>
      <c r="C14" s="3" t="inlineStr">
        <is>
          <t>Лист «Допущения» → блок 1: вбить драйверы бизнеса по годам (активные пользователи, число заказов, средний чек). Из них считается GMV.</t>
        </is>
      </c>
    </row>
    <row r="15" ht="30" customHeight="1" s="33">
      <c r="B15" s="2" t="inlineStr">
        <is>
          <t>Шаг 2</t>
        </is>
      </c>
      <c r="C15" s="3" t="inlineStr">
        <is>
          <t>Лист «Допущения» → блок 2: финансовые допущения (инфляция, рост ФОТ, ставка дисконтирования, резерв, целевой SLO).</t>
        </is>
      </c>
    </row>
    <row r="16" ht="30" customHeight="1" s="33">
      <c r="B16" s="2" t="inlineStr">
        <is>
          <t>Шаг 3</t>
        </is>
      </c>
      <c r="C16" s="3" t="inlineStr">
        <is>
      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      </is>
      </c>
    </row>
    <row r="17" ht="30" customHeight="1" s="33">
      <c r="B17" s="2" t="inlineStr">
        <is>
          <t>Шаг 4</t>
        </is>
      </c>
      <c r="C17" s="3" t="inlineStr">
        <is>
      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      </is>
      </c>
    </row>
    <row r="18" ht="30" customHeight="1" s="33">
      <c r="B18" s="2" t="inlineStr">
        <is>
          <t>Шаг 5</t>
        </is>
      </c>
      <c r="C18" s="3" t="inlineStr">
        <is>
          <t>Посмотреть блок «Ключевые метрики» внизу листа TCO и сводку на листе «Сводка». Лимит CFO - $5k/мес с SaaS (А6).</t>
        </is>
      </c>
    </row>
    <row r="19">
      <c r="B19" s="2" t="n"/>
      <c r="C19" s="3" t="n"/>
    </row>
    <row r="20">
      <c r="B20" s="4" t="inlineStr">
        <is>
          <t>Что важно не забыть в этом кейсе</t>
        </is>
      </c>
      <c r="C20" s="5" t="n"/>
    </row>
    <row r="21" ht="30" customHeight="1" s="33">
      <c r="B21" s="2" t="inlineStr">
        <is>
          <t>Бюджет CFO</t>
        </is>
      </c>
      <c r="C21" s="3" t="inlineStr">
        <is>
          <t>$5 000/мес на всё техническое с регулярными платежами, включая SaaS и мониторинг (А6). $9k - цифра из презентации совету, разработке недоступна.</t>
        </is>
      </c>
    </row>
    <row r="22" ht="30" customHeight="1" s="33">
      <c r="B22" s="2" t="inlineStr">
        <is>
          <t>Цена простоя</t>
        </is>
      </c>
      <c r="C22" s="3" t="inlineStr">
        <is>
          <t>Инвестор оценивает минуту в $12 000 (А1). Это соответствует GMV $6,3 млрд в год. В модели потери считаются от фактического GMV года с пиковым коэффициентом.</t>
        </is>
      </c>
    </row>
    <row r="23" ht="30" customHeight="1" s="33">
      <c r="B23" s="2" t="inlineStr">
        <is>
          <t>Транзакционные расходы</t>
        </is>
      </c>
      <c r="C23" s="3" t="inlineStr">
        <is>
      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      </is>
      </c>
    </row>
    <row r="24" ht="30" customHeight="1" s="33">
      <c r="B24" s="2" t="inlineStr">
        <is>
          <t>Сравнение вариантов</t>
        </is>
      </c>
      <c r="C24" s="3" t="inlineStr">
        <is>
          <t>Транзакционные расходы (блок 3) почти одинаковы для любой архитектуры — это pass-through от оборота. Варианты архитектуры сравнивай по блокам 1, 2, 4 и 6.</t>
        </is>
      </c>
    </row>
    <row r="25" ht="30" customHeight="1" s="33">
      <c r="B25" s="2" t="inlineStr">
        <is>
          <t>Разовые затраты</t>
        </is>
      </c>
      <c r="C25" s="3" t="inlineStr">
        <is>
      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      </is>
      </c>
    </row>
    <row r="26" ht="30" customHeight="1" s="33">
      <c r="B26" s="2" t="inlineStr">
        <is>
          <t>Люди</t>
        </is>
      </c>
      <c r="C26" s="3" t="inlineStr">
        <is>
      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      </is>
      </c>
    </row>
    <row r="27" ht="15.75" customHeight="1" s="33">
      <c r="B27" s="2" t="n"/>
      <c r="C27" s="3" t="n"/>
    </row>
    <row r="28" ht="30" customHeight="1" s="33">
      <c r="B28" s="50" t="inlineStr">
        <is>
          <t>Все числа в файле — примеры для демонстрации формата. Замени их своими оценками и укажи источник в колонке «Комментарий / источник».</t>
        </is>
      </c>
    </row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1">
    <mergeCell ref="B28:C28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8"/>
  <sheetViews>
    <sheetView workbookViewId="0">
      <selection activeCell="A1" sqref="A1"/>
    </sheetView>
  </sheetViews>
  <sheetFormatPr baseColWidth="8" defaultRowHeight="15"/>
  <cols>
    <col width="62" customWidth="1" style="33" min="2" max="2"/>
    <col width="24" customWidth="1" style="33" min="3" max="3"/>
    <col width="24" customWidth="1" style="33" min="4" max="4"/>
    <col width="24" customWidth="1" style="33" min="5" max="5"/>
    <col width="40" customWidth="1" style="33" min="6" max="6"/>
  </cols>
  <sheetData>
    <row r="2">
      <c r="B2" s="51" t="inlineStr">
        <is>
          <t>Сводка вариантов - TCO 5 лет, $</t>
        </is>
      </c>
    </row>
    <row r="4">
      <c r="B4" s="52" t="inlineStr">
        <is>
          <t>Метрика</t>
        </is>
      </c>
      <c r="C4" s="52" t="inlineStr">
        <is>
          <t>V1 Модульный монолит</t>
        </is>
      </c>
      <c r="D4" s="52" t="inlineStr">
        <is>
          <t>V2 Сервисы на K8s</t>
        </is>
      </c>
      <c r="E4" s="52" t="inlineStr">
        <is>
          <t>V3 Микросервисы CTO</t>
        </is>
      </c>
      <c r="F4" s="52" t="inlineStr">
        <is>
          <t>Комментарий</t>
        </is>
      </c>
    </row>
    <row r="5">
      <c r="B5" t="inlineStr">
        <is>
          <t>TCO 5 лет, прямые затраты</t>
        </is>
      </c>
      <c r="C5" s="53">
        <f>'TCO-V1'!E59</f>
        <v/>
      </c>
      <c r="D5" s="53">
        <f>'TCO-V2'!E59</f>
        <v/>
      </c>
      <c r="E5" s="53">
        <f>'TCO-V3'!E59</f>
        <v/>
      </c>
      <c r="F5" t="inlineStr">
        <is>
          <t>Основа сравнения</t>
        </is>
      </c>
    </row>
    <row r="6">
      <c r="B6" t="inlineStr">
        <is>
          <t>TCO 5 лет с ожидаемыми потерями от простоя</t>
        </is>
      </c>
      <c r="C6" s="53">
        <f>'TCO-V1'!E60</f>
        <v/>
      </c>
      <c r="D6" s="53">
        <f>'TCO-V2'!E60</f>
        <v/>
      </c>
      <c r="E6" s="53">
        <f>'TCO-V3'!E60</f>
        <v/>
      </c>
      <c r="F6" t="inlineStr">
        <is>
          <t>Блок 6 от GMV</t>
        </is>
      </c>
    </row>
    <row r="7">
      <c r="B7" t="inlineStr">
        <is>
          <t>NPV затрат 5 лет</t>
        </is>
      </c>
      <c r="C7" s="53">
        <f>'TCO-V1'!E61</f>
        <v/>
      </c>
      <c r="D7" s="53">
        <f>'TCO-V2'!E61</f>
        <v/>
      </c>
      <c r="E7" s="53">
        <f>'TCO-V3'!E61</f>
        <v/>
      </c>
      <c r="F7" t="inlineStr">
        <is>
          <t>Ставка 25%</t>
        </is>
      </c>
    </row>
    <row r="8">
      <c r="B8" t="inlineStr">
        <is>
          <t>Блок 1. Облако, 5 лет</t>
        </is>
      </c>
      <c r="C8" s="53">
        <f>'TCO-V1'!J15</f>
        <v/>
      </c>
      <c r="D8" s="53">
        <f>'TCO-V2'!J15</f>
        <v/>
      </c>
      <c r="E8" s="53">
        <f>'TCO-V3'!J15</f>
        <v/>
      </c>
      <c r="F8" t="inlineStr"/>
    </row>
    <row r="9">
      <c r="B9" t="inlineStr">
        <is>
          <t>Блок 2. Лицензии и SaaS, 5 лет</t>
        </is>
      </c>
      <c r="C9" s="53">
        <f>'TCO-V1'!J24</f>
        <v/>
      </c>
      <c r="D9" s="53">
        <f>'TCO-V2'!J24</f>
        <v/>
      </c>
      <c r="E9" s="53">
        <f>'TCO-V3'!J24</f>
        <v/>
      </c>
      <c r="F9" t="inlineStr"/>
    </row>
    <row r="10">
      <c r="B10" t="inlineStr">
        <is>
          <t>Блок 3. Транзакционные, 5 лет</t>
        </is>
      </c>
      <c r="C10" s="53">
        <f>'TCO-V1'!J32</f>
        <v/>
      </c>
      <c r="D10" s="53">
        <f>'TCO-V2'!J32</f>
        <v/>
      </c>
      <c r="E10" s="53">
        <f>'TCO-V3'!J32</f>
        <v/>
      </c>
      <c r="F10" t="inlineStr">
        <is>
          <t>Одинаков для всех вариантов</t>
        </is>
      </c>
    </row>
    <row r="11">
      <c r="B11" t="inlineStr">
        <is>
          <t>Блок 4. ФОТ, 5 лет</t>
        </is>
      </c>
      <c r="C11" s="53">
        <f>'TCO-V1'!J40</f>
        <v/>
      </c>
      <c r="D11" s="53">
        <f>'TCO-V2'!J40</f>
        <v/>
      </c>
      <c r="E11" s="53">
        <f>'TCO-V3'!J40</f>
        <v/>
      </c>
      <c r="F11" t="inlineStr">
        <is>
          <t>Главная разница</t>
        </is>
      </c>
    </row>
    <row r="12">
      <c r="B12" t="inlineStr">
        <is>
          <t>Блок 5. Разовые и комплаенс, 5 лет</t>
        </is>
      </c>
      <c r="C12" s="53">
        <f>'TCO-V1'!J48</f>
        <v/>
      </c>
      <c r="D12" s="53">
        <f>'TCO-V2'!J48</f>
        <v/>
      </c>
      <c r="E12" s="53">
        <f>'TCO-V3'!J48</f>
        <v/>
      </c>
      <c r="F12" t="inlineStr"/>
    </row>
    <row r="13">
      <c r="B13" t="inlineStr">
        <is>
          <t>Блок 6. Ожидаемые потери от простоя, 5 лет</t>
        </is>
      </c>
      <c r="C13" s="53">
        <f>'TCO-V1'!J53</f>
        <v/>
      </c>
      <c r="D13" s="53">
        <f>'TCO-V2'!J53</f>
        <v/>
      </c>
      <c r="E13" s="53">
        <f>'TCO-V3'!J53</f>
        <v/>
      </c>
      <c r="F13" t="inlineStr"/>
    </row>
    <row r="14">
      <c r="B14" t="inlineStr">
        <is>
          <t>Облако, $/мес Год 1</t>
        </is>
      </c>
      <c r="C14" s="53">
        <f>'TCO-V1'!E63</f>
        <v/>
      </c>
      <c r="D14" s="53">
        <f>'TCO-V2'!E63</f>
        <v/>
      </c>
      <c r="E14" s="53">
        <f>'TCO-V3'!E63</f>
        <v/>
      </c>
      <c r="F14" t="inlineStr"/>
    </row>
    <row r="15">
      <c r="B15" t="inlineStr">
        <is>
          <t>Облако + SaaS, $/мес Год 1</t>
        </is>
      </c>
      <c r="C15" s="53">
        <f>'TCO-V1'!E77</f>
        <v/>
      </c>
      <c r="D15" s="53">
        <f>'TCO-V2'!E77</f>
        <v/>
      </c>
      <c r="E15" s="53">
        <f>'TCO-V3'!E77</f>
        <v/>
      </c>
      <c r="F15" t="inlineStr">
        <is>
          <t>Лимит CFO $5 000 (А6)</t>
        </is>
      </c>
    </row>
    <row r="16">
      <c r="B16" t="inlineStr">
        <is>
          <t>Проверка лимита CFO</t>
        </is>
      </c>
      <c r="C16" s="54">
        <f>'TCO-V1'!E78</f>
        <v/>
      </c>
      <c r="D16" s="54">
        <f>'TCO-V2'!E78</f>
        <v/>
      </c>
      <c r="E16" s="54">
        <f>'TCO-V3'!E78</f>
        <v/>
      </c>
      <c r="F16" t="inlineStr"/>
    </row>
    <row r="17">
      <c r="B17" t="inlineStr">
        <is>
          <t>Сравнимая часть: блоки 1, 2, 4, 6, 5 лет</t>
        </is>
      </c>
      <c r="C17" s="53">
        <f>'TCO-V1'!J15+'TCO-V1'!J24+'TCO-V1'!J40+'TCO-V1'!J53</f>
        <v/>
      </c>
      <c r="D17" s="53">
        <f>'TCO-V2'!J15+'TCO-V2'!J24+'TCO-V2'!J40+'TCO-V2'!J53</f>
        <v/>
      </c>
      <c r="E17" s="53">
        <f>'TCO-V3'!J15+'TCO-V3'!J24+'TCO-V3'!J40+'TCO-V3'!J53</f>
        <v/>
      </c>
      <c r="F17" t="inlineStr">
        <is>
          <t>Блок 3 одинаков, сравнение по блокам 1, 2, 4, 6</t>
        </is>
      </c>
    </row>
    <row r="18">
      <c r="B18" t="inlineStr">
        <is>
          <t>Минут простоя за 5 лет при целевом SLO</t>
        </is>
      </c>
      <c r="C18" s="53">
        <f>SUMPRODUCT(1-'TCO-V1'!E80:I80)*525600</f>
        <v/>
      </c>
      <c r="D18" s="53">
        <f>SUMPRODUCT(1-'TCO-V2'!E80:I80)*525600</f>
        <v/>
      </c>
      <c r="E18" s="53">
        <f>SUMPRODUCT(1-'TCO-V3'!E80:I80)*525600</f>
        <v/>
      </c>
      <c r="F18" t="inlineStr"/>
    </row>
    <row r="19">
      <c r="B19" t="inlineStr">
        <is>
          <t>TCO на 1 заказ за 5 лет</t>
        </is>
      </c>
      <c r="C19" s="55">
        <f>'TCO-V1'!E65</f>
        <v/>
      </c>
      <c r="D19" s="55">
        <f>'TCO-V2'!E65</f>
        <v/>
      </c>
      <c r="E19" s="55">
        <f>'TCO-V3'!E65</f>
        <v/>
      </c>
      <c r="F19" t="inlineStr"/>
    </row>
    <row r="20">
      <c r="B20" t="inlineStr">
        <is>
          <t>ИТ-затраты как доля GMV</t>
        </is>
      </c>
      <c r="C20" s="56">
        <f>'TCO-V1'!E67</f>
        <v/>
      </c>
      <c r="D20" s="56">
        <f>'TCO-V2'!E67</f>
        <v/>
      </c>
      <c r="E20" s="56">
        <f>'TCO-V3'!E67</f>
        <v/>
      </c>
      <c r="F20" t="inlineStr"/>
    </row>
    <row r="21">
      <c r="B21" t="inlineStr">
        <is>
          <t>Доля ФОТ в TCO</t>
        </is>
      </c>
      <c r="C21" s="57">
        <f>'TCO-V1'!E70</f>
        <v/>
      </c>
      <c r="D21" s="57">
        <f>'TCO-V2'!E70</f>
        <v/>
      </c>
      <c r="E21" s="57">
        <f>'TCO-V3'!E70</f>
        <v/>
      </c>
      <c r="F21" t="inlineStr"/>
    </row>
    <row r="24">
      <c r="B24" s="58" t="inlineStr">
        <is>
          <t>Стоимость ошибки: построили под 10M (V3), пришло 50k</t>
        </is>
      </c>
    </row>
    <row r="25">
      <c r="B25" t="inlineStr">
        <is>
          <t>Год 1, блоки 1, 2, 4, 5 с резервом: V3 минус V1</t>
        </is>
      </c>
    </row>
    <row r="26">
      <c r="B26" t="inlineStr">
        <is>
          <t>Год 1 без транзакционных, $ (V1 | V3)</t>
        </is>
      </c>
      <c r="C26" s="53">
        <f>('TCO-V1'!E15+'TCO-V1'!E24+'TCO-V1'!E40+'TCO-V1'!E48)*(1+Допущения!$C$17)</f>
        <v/>
      </c>
      <c r="E26" s="53">
        <f>('TCO-V3'!E15+'TCO-V3'!E24+'TCO-V3'!E40+'TCO-V3'!E48)*(1+Допущения!$C$17)</f>
        <v/>
      </c>
    </row>
    <row r="27">
      <c r="B27" t="inlineStr">
        <is>
          <t>Потрачено впустую в Год 1, $</t>
        </is>
      </c>
      <c r="C27" s="53">
        <f>E26-C26</f>
        <v/>
      </c>
    </row>
    <row r="28">
      <c r="B28" t="inlineStr">
        <is>
          <t>+ невозвратная реклама при срыве 15.10 (А2), $</t>
        </is>
      </c>
      <c r="C28" s="53" t="n">
        <v>180000</v>
      </c>
    </row>
    <row r="29">
      <c r="B29" t="inlineStr">
        <is>
          <t>Итого цена ошибки «строим большое», $</t>
        </is>
      </c>
      <c r="C29" s="53">
        <f>C27+C28</f>
        <v/>
      </c>
    </row>
    <row r="31">
      <c r="B31" s="58" t="inlineStr">
        <is>
          <t>Обратная ошибка: построили V1, а рост быстрее плана</t>
        </is>
      </c>
    </row>
    <row r="32">
      <c r="B32" t="inlineStr">
        <is>
          <t>Выделение 2-3 модулей в сервисы: 3 инженера × 4 мес × $5k, $</t>
        </is>
      </c>
      <c r="C32" s="53" t="n">
        <v>60000</v>
      </c>
    </row>
    <row r="33">
      <c r="B33" t="inlineStr">
        <is>
          <t>Мультирегион на год раньше плана (Год 2 вместо Год 3), $</t>
        </is>
      </c>
      <c r="C33" s="53" t="n">
        <v>120000</v>
      </c>
    </row>
    <row r="34">
      <c r="B34" t="inlineStr">
        <is>
          <t>Итого цена ошибки «строим малое», $</t>
        </is>
      </c>
      <c r="C34" s="53">
        <f>C32+C33</f>
        <v/>
      </c>
    </row>
    <row r="36">
      <c r="B36" s="58" t="inlineStr">
        <is>
          <t>Точка безубыточности по цене минуты простоя</t>
        </is>
      </c>
    </row>
    <row r="37">
      <c r="B37" t="inlineStr">
        <is>
          <t>При какой цене минуты дорогой вариант окупает себя меньшим простоем, $/мин</t>
        </is>
      </c>
      <c r="D37" s="53">
        <f>(('TCO-V2'!J15+'TCO-V2'!J24+'TCO-V2'!J40+'TCO-V2'!J48)-('TCO-V1'!J15+'TCO-V1'!J24+'TCO-V1'!J40+'TCO-V1'!J48))*(1+Допущения!$C$17)/(C18-D18)</f>
        <v/>
      </c>
      <c r="E37" s="53">
        <f>(('TCO-V3'!J15+'TCO-V3'!J24+'TCO-V3'!J40+'TCO-V3'!J48)-('TCO-V1'!J15+'TCO-V1'!J24+'TCO-V1'!J40+'TCO-V1'!J48))*(1+Допущения!$C$17)/(C18-E18)</f>
        <v/>
      </c>
    </row>
    <row r="38">
      <c r="B38" t="inlineStr">
        <is>
          <t>Каждый вариант против V1. Инвестор: $12 000 (А1). Средний GMV в минуту: Год 1 $46, Год 5 $1 600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pane xSplit="2" ySplit="6" topLeftCell="C7" activePane="bottomRight" state="frozen"/>
      <selection pane="bottomRight" activeCell="C7" sqref="C7"/>
      <selection pane="bottomLeft" activeCell="A7" sqref="A7"/>
      <selection pane="topRight" activeCell="C1" sqref="C1"/>
    </sheetView>
  </sheetViews>
  <sheetFormatPr baseColWidth="8" defaultColWidth="14.42578125" defaultRowHeight="15" customHeight="1"/>
  <cols>
    <col width="3" customWidth="1" style="33" min="1" max="1"/>
    <col width="42" customWidth="1" style="33" min="2" max="2"/>
    <col width="15" customWidth="1" style="33" min="3" max="7"/>
    <col width="52" customWidth="1" style="33" min="8" max="8"/>
    <col width="8.7109375" customWidth="1" style="33" min="9" max="26"/>
  </cols>
  <sheetData>
    <row r="2">
      <c r="B2" s="1" t="inlineStr">
        <is>
          <t>Допущения модели TCO — Africa Delivery</t>
        </is>
      </c>
    </row>
    <row r="3">
      <c r="B3" s="6" t="inlineStr">
        <is>
          <t>Заполняются только ячейки с жёлтой заливкой. Все числа ниже — пример, заменить своими.</t>
        </is>
      </c>
    </row>
    <row r="5">
      <c r="B5" s="7" t="inlineStr">
        <is>
          <t>1. Драйверы бизнеса — заполнить</t>
        </is>
      </c>
      <c r="C5" s="8" t="n"/>
      <c r="D5" s="8" t="n"/>
      <c r="E5" s="8" t="n"/>
      <c r="F5" s="8" t="n"/>
      <c r="G5" s="8" t="n"/>
      <c r="H5" s="8" t="n"/>
    </row>
    <row r="6">
      <c r="B6" s="9" t="inlineStr">
        <is>
          <t>Показатель</t>
        </is>
      </c>
      <c r="C6" s="9" t="inlineStr">
        <is>
          <t>Год 1</t>
        </is>
      </c>
      <c r="D6" s="9" t="inlineStr">
        <is>
          <t>Год 2</t>
        </is>
      </c>
      <c r="E6" s="9" t="inlineStr">
        <is>
          <t>Год 3</t>
        </is>
      </c>
      <c r="F6" s="9" t="inlineStr">
        <is>
          <t>Год 4</t>
        </is>
      </c>
      <c r="G6" s="9" t="inlineStr">
        <is>
          <t>Год 5</t>
        </is>
      </c>
      <c r="H6" s="9" t="inlineStr">
        <is>
          <t>Комментарий / источник</t>
        </is>
      </c>
    </row>
    <row r="7">
      <c r="B7" s="10" t="inlineStr">
        <is>
          <t>Активные пользователи (на конец года)</t>
        </is>
      </c>
      <c r="C7" s="11" t="n">
        <v>1000000</v>
      </c>
      <c r="D7" s="11" t="n">
        <v>2500000</v>
      </c>
      <c r="E7" s="11" t="n">
        <v>5000000</v>
      </c>
      <c r="F7" s="11" t="n">
        <v>7000000</v>
      </c>
      <c r="G7" s="11" t="n">
        <v>9000000</v>
      </c>
      <c r="H7" s="34" t="inlineStr">
        <is>
          <t>Цель 12 мес: 1M+ пользователей (ЦБ). Далее 12-15 стран к Год 3 (А1). Не 10M (А5)</t>
        </is>
      </c>
    </row>
    <row r="8">
      <c r="B8" s="10" t="inlineStr">
        <is>
          <t>Число заказов в год</t>
        </is>
      </c>
      <c r="C8" s="11" t="n">
        <v>1200000</v>
      </c>
      <c r="D8" s="11" t="n">
        <v>6000000</v>
      </c>
      <c r="E8" s="11" t="n">
        <v>15000000</v>
      </c>
      <c r="F8" s="11" t="n">
        <v>25000000</v>
      </c>
      <c r="G8" s="11" t="n">
        <v>35000000</v>
      </c>
      <c r="H8" s="34" t="inlineStr">
        <is>
          <t>Месяц 1: ~20k заказов, месяц 12: ~250k заказов в месяц. Далее рост по странам</t>
        </is>
      </c>
    </row>
    <row r="9">
      <c r="B9" s="10" t="inlineStr">
        <is>
          <t>Средний чек (AOV), $</t>
        </is>
      </c>
      <c r="C9" s="13" t="n">
        <v>20</v>
      </c>
      <c r="D9" s="13" t="n">
        <v>21</v>
      </c>
      <c r="E9" s="13" t="n">
        <v>22</v>
      </c>
      <c r="F9" s="13" t="n">
        <v>23</v>
      </c>
      <c r="G9" s="13" t="n">
        <v>24</v>
      </c>
      <c r="H9" s="34" t="inlineStr">
        <is>
          <t>Ставка на низкую цену (ЦБ). Смартфоны дешевле $150 (А2)</t>
        </is>
      </c>
    </row>
    <row r="10">
      <c r="B10" s="14" t="inlineStr">
        <is>
          <t>GMV, $ в год (расчёт)</t>
        </is>
      </c>
      <c r="C10" s="15">
        <f>C8*C9</f>
        <v/>
      </c>
      <c r="D10" s="15">
        <f>D8*D9</f>
        <v/>
      </c>
      <c r="E10" s="15">
        <f>E8*E9</f>
        <v/>
      </c>
      <c r="F10" s="15">
        <f>F8*F9</f>
        <v/>
      </c>
      <c r="G10" s="15">
        <f>G8*G9</f>
        <v/>
      </c>
      <c r="H10" s="34" t="inlineStr">
        <is>
          <t>Расчёт: заказы × средний чек</t>
        </is>
      </c>
    </row>
    <row r="12">
      <c r="B12" s="7" t="inlineStr">
        <is>
          <t>2. Финансовые допущения — заполнить</t>
        </is>
      </c>
      <c r="C12" s="8" t="n"/>
      <c r="D12" s="8" t="n"/>
      <c r="E12" s="8" t="n"/>
      <c r="F12" s="8" t="n"/>
      <c r="G12" s="8" t="n"/>
      <c r="H12" s="8" t="n"/>
    </row>
    <row r="13">
      <c r="B13" s="9" t="inlineStr">
        <is>
          <t>Параметр</t>
        </is>
      </c>
      <c r="C13" s="9" t="inlineStr">
        <is>
          <t>Значение</t>
        </is>
      </c>
      <c r="D13" s="9" t="n"/>
      <c r="E13" s="9" t="n"/>
      <c r="F13" s="9" t="n"/>
      <c r="G13" s="9" t="n"/>
      <c r="H13" s="9" t="inlineStr">
        <is>
          <t>Комментарий / источник</t>
        </is>
      </c>
    </row>
    <row r="14">
      <c r="B14" s="10" t="inlineStr">
        <is>
          <t>Инфляция затрат, % в год</t>
        </is>
      </c>
      <c r="C14" s="18" t="n">
        <v>0.08</v>
      </c>
      <c r="H14" s="34" t="inlineStr">
        <is>
          <t>Применяется к статьям с драйвером «инфляция»</t>
        </is>
      </c>
    </row>
    <row r="15">
      <c r="B15" s="10" t="inlineStr">
        <is>
          <t>Рост ФОТ, % в год</t>
        </is>
      </c>
      <c r="C15" s="18" t="n">
        <v>0.1</v>
      </c>
      <c r="H15" s="34" t="inlineStr">
        <is>
          <t>Рост ставок контракторов</t>
        </is>
      </c>
    </row>
    <row r="16">
      <c r="B16" s="10" t="inlineStr">
        <is>
          <t>Ставка дисконтирования, % в год</t>
        </is>
      </c>
      <c r="C16" s="18" t="n">
        <v>0.25</v>
      </c>
      <c r="H16" s="34" t="inlineStr">
        <is>
          <t>Runway 9 месяцев (А6): риск выше стандартного стартапа</t>
        </is>
      </c>
    </row>
    <row r="17">
      <c r="B17" s="10" t="inlineStr">
        <is>
          <t>Резерв на непредвиденное (contingency), %</t>
        </is>
      </c>
      <c r="C17" s="18" t="n">
        <v>0.15</v>
      </c>
      <c r="H17" s="34" t="inlineStr">
        <is>
          <t>Надбавка к прямым затратам</t>
        </is>
      </c>
    </row>
    <row r="18">
      <c r="B18" s="10" t="inlineStr">
        <is>
          <t>Бюджет CFO на облако, $/мес</t>
        </is>
      </c>
      <c r="C18" s="17" t="n">
        <v>5000</v>
      </c>
      <c r="H18" s="34" t="inlineStr">
        <is>
          <t>Жёсткий потолок на всё техническое, включая SaaS (А6). $9k - не для разработки</t>
        </is>
      </c>
    </row>
    <row r="19">
      <c r="B19" s="10" t="inlineStr">
        <is>
          <t>Стоимость минуты простоя, $</t>
        </is>
      </c>
      <c r="C19" s="17" t="n">
        <v>12000</v>
      </c>
      <c r="H19" s="34" t="inlineStr">
        <is>
          <t>Оценка инвестора (А1). Только справочно: соответствует GMV $6,3 млрд в год</t>
        </is>
      </c>
    </row>
    <row r="20">
      <c r="B20" s="10" t="inlineStr">
        <is>
          <t>Целевой SLO (доступность), %</t>
        </is>
      </c>
      <c r="C20" s="19" t="n">
        <v>0.9999</v>
      </c>
      <c r="H20" s="34" t="inlineStr">
        <is>
          <t>Справочно. В расчёте используется SLO по годам на листе варианта (строка 80)</t>
        </is>
      </c>
    </row>
    <row r="21" ht="15.75" customHeight="1" s="33">
      <c r="B21" s="10" t="inlineStr">
        <is>
          <t>Учитывать стоимость простоя в TCO (1 — да, 0 — нет)</t>
        </is>
      </c>
      <c r="C21" s="20" t="n">
        <v>1</v>
      </c>
      <c r="H21" s="34" t="inlineStr">
        <is>
          <t>Переключатель для сценарного анализа</t>
        </is>
      </c>
    </row>
    <row r="22" ht="15.75" customHeight="1" s="33">
      <c r="B22" t="inlineStr">
        <is>
          <t>Пиковый коэффициент потерь при простое</t>
        </is>
      </c>
      <c r="C22" s="20" t="n">
        <v>3</v>
      </c>
      <c r="H22" t="inlineStr">
        <is>
          <t>Простой чаще случается в пик (распродажа, реклама): потери × 3 к среднему GMV/мин</t>
        </is>
      </c>
    </row>
    <row r="23" ht="15.75" customHeight="1" s="33">
      <c r="B23" s="7" t="inlineStr">
        <is>
          <t>3. Индексы роста — расчёт, не редактировать</t>
        </is>
      </c>
      <c r="C23" s="8" t="n"/>
      <c r="D23" s="8" t="n"/>
      <c r="E23" s="8" t="n"/>
      <c r="F23" s="8" t="n"/>
      <c r="G23" s="8" t="n"/>
      <c r="H23" s="8" t="n"/>
    </row>
    <row r="24" ht="15.75" customHeight="1" s="33">
      <c r="B24" s="9" t="inlineStr">
        <is>
          <t>Драйвер</t>
        </is>
      </c>
      <c r="C24" s="9" t="inlineStr">
        <is>
          <t>Год 1</t>
        </is>
      </c>
      <c r="D24" s="9" t="inlineStr">
        <is>
          <t>Год 2</t>
        </is>
      </c>
      <c r="E24" s="9" t="inlineStr">
        <is>
          <t>Год 3</t>
        </is>
      </c>
      <c r="F24" s="9" t="inlineStr">
        <is>
          <t>Год 4</t>
        </is>
      </c>
      <c r="G24" s="9" t="inlineStr">
        <is>
          <t>Год 5</t>
        </is>
      </c>
      <c r="H24" s="9" t="inlineStr">
        <is>
          <t>Как считается</t>
        </is>
      </c>
    </row>
    <row r="25" ht="15.75" customHeight="1" s="33">
      <c r="B25" s="10" t="inlineStr">
        <is>
          <t>фикс</t>
        </is>
      </c>
      <c r="C25" s="21" t="n">
        <v>1</v>
      </c>
      <c r="D25" s="21" t="n">
        <v>1</v>
      </c>
      <c r="E25" s="21" t="n">
        <v>1</v>
      </c>
      <c r="F25" s="21" t="n">
        <v>1</v>
      </c>
      <c r="G25" s="21" t="n">
        <v>1</v>
      </c>
      <c r="H25" s="34" t="inlineStr">
        <is>
          <t>Затраты не меняются по годам</t>
        </is>
      </c>
    </row>
    <row r="26" ht="15.75" customHeight="1" s="33">
      <c r="B26" s="10" t="inlineStr">
        <is>
          <t>инфляция</t>
        </is>
      </c>
      <c r="C26" s="21" t="n">
        <v>1</v>
      </c>
      <c r="D26" s="21">
        <f>C26*(1+$C$14)</f>
        <v/>
      </c>
      <c r="E26" s="21">
        <f>D26*(1+$C$14)</f>
        <v/>
      </c>
      <c r="F26" s="21">
        <f>E26*(1+$C$14)</f>
        <v/>
      </c>
      <c r="G26" s="21">
        <f>F26*(1+$C$14)</f>
        <v/>
      </c>
      <c r="H26" s="34" t="inlineStr">
        <is>
          <t>Год N = Год N-1 × (1 + инфляция)</t>
        </is>
      </c>
    </row>
    <row r="27" ht="15.75" customHeight="1" s="33">
      <c r="B27" s="10" t="inlineStr">
        <is>
          <t>ФОТ</t>
        </is>
      </c>
      <c r="C27" s="21" t="n">
        <v>1</v>
      </c>
      <c r="D27" s="21">
        <f>C27*(1+$C$15)</f>
        <v/>
      </c>
      <c r="E27" s="21">
        <f>D27*(1+$C$15)</f>
        <v/>
      </c>
      <c r="F27" s="21">
        <f>E27*(1+$C$15)</f>
        <v/>
      </c>
      <c r="G27" s="21">
        <f>F27*(1+$C$15)</f>
        <v/>
      </c>
      <c r="H27" s="34" t="inlineStr">
        <is>
          <t>Год N = Год N-1 × (1 + рост ФОТ)</t>
        </is>
      </c>
    </row>
    <row r="28" ht="15.75" customHeight="1" s="33">
      <c r="B28" s="10" t="inlineStr">
        <is>
          <t>пользователи</t>
        </is>
      </c>
      <c r="C28" s="21">
        <f>C7/$C$7</f>
        <v/>
      </c>
      <c r="D28" s="21">
        <f>D7/$C$7</f>
        <v/>
      </c>
      <c r="E28" s="21">
        <f>E7/$C$7</f>
        <v/>
      </c>
      <c r="F28" s="21">
        <f>F7/$C$7</f>
        <v/>
      </c>
      <c r="G28" s="21">
        <f>G7/$C$7</f>
        <v/>
      </c>
      <c r="H28" s="34" t="inlineStr">
        <is>
          <t>Пропорционально числу активных пользователей</t>
        </is>
      </c>
    </row>
    <row r="29" ht="15.75" customHeight="1" s="33">
      <c r="B29" s="10" t="inlineStr">
        <is>
          <t>заказы</t>
        </is>
      </c>
      <c r="C29" s="21">
        <f>C8/$C$8</f>
        <v/>
      </c>
      <c r="D29" s="21">
        <f>D8/$C$8</f>
        <v/>
      </c>
      <c r="E29" s="21">
        <f>E8/$C$8</f>
        <v/>
      </c>
      <c r="F29" s="21">
        <f>F8/$C$8</f>
        <v/>
      </c>
      <c r="G29" s="21">
        <f>G8/$C$8</f>
        <v/>
      </c>
      <c r="H29" s="34" t="inlineStr">
        <is>
          <t>Пропорционально числу заказов</t>
        </is>
      </c>
    </row>
    <row r="30" ht="15.75" customHeight="1" s="33">
      <c r="B30" s="10" t="inlineStr">
        <is>
          <t>GMV</t>
        </is>
      </c>
      <c r="C30" s="21">
        <f>C10/$C$10</f>
        <v/>
      </c>
      <c r="D30" s="21">
        <f>D10/$C$10</f>
        <v/>
      </c>
      <c r="E30" s="21">
        <f>E10/$C$10</f>
        <v/>
      </c>
      <c r="F30" s="21">
        <f>F10/$C$10</f>
        <v/>
      </c>
      <c r="G30" s="21">
        <f>G10/$C$10</f>
        <v/>
      </c>
      <c r="H30" s="34" t="inlineStr">
        <is>
          <t>Пропорционально обороту</t>
        </is>
      </c>
    </row>
    <row r="31" ht="15.75" customHeight="1" s="33"/>
    <row r="32" ht="15" customHeight="1" s="33">
      <c r="B32" s="59" t="inlineStr">
        <is>
      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      </is>
      </c>
    </row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1">
    <mergeCell ref="B32:H33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pane xSplit="2" ySplit="5" topLeftCell="C6" activePane="bottomRight" state="frozen"/>
      <selection pane="bottomRight" activeCell="C6" sqref="C6"/>
      <selection pane="bottomLeft" activeCell="A6" sqref="A6"/>
      <selection pane="topRight" activeCell="C1" sqref="C1"/>
    </sheetView>
  </sheetViews>
  <sheetFormatPr baseColWidth="8" defaultColWidth="14.42578125" defaultRowHeight="15" customHeight="1"/>
  <cols>
    <col width="3" customWidth="1" style="33" min="1" max="1"/>
    <col width="44" customWidth="1" style="33" min="2" max="2"/>
    <col width="16" customWidth="1" style="33" min="3" max="3"/>
    <col width="15" customWidth="1" style="33" min="4" max="4"/>
    <col width="14" customWidth="1" style="33" min="5" max="10"/>
    <col width="10" customWidth="1" style="33" min="11" max="11"/>
    <col width="46" customWidth="1" style="33" min="12" max="12"/>
    <col width="8.7109375" customWidth="1" style="33" min="13" max="26"/>
  </cols>
  <sheetData>
    <row r="1"/>
    <row r="2">
      <c r="B2" s="1" t="inlineStr">
        <is>
          <t>TCO на 5 лет - V1 Модульный монолит на managed-сервисах</t>
        </is>
      </c>
    </row>
    <row r="3">
      <c r="B3" s="6" t="inlineStr">
        <is>
          <t>Заполняем колонки «Драйвер роста» и «База, $/год (Год 1)». Годы 1–5 считаются автоматически.</t>
        </is>
      </c>
    </row>
    <row r="4"/>
    <row r="5" ht="31.5" customHeight="1" s="33">
      <c r="B5" s="9" t="inlineStr">
        <is>
          <t>Статья затрат</t>
        </is>
      </c>
      <c r="C5" s="9" t="inlineStr">
        <is>
          <t>Драйвер роста</t>
        </is>
      </c>
      <c r="D5" s="9" t="inlineStr">
        <is>
          <t>База, $/год (Год 1)</t>
        </is>
      </c>
      <c r="E5" s="9" t="inlineStr">
        <is>
          <t>Год 1</t>
        </is>
      </c>
      <c r="F5" s="9" t="inlineStr">
        <is>
          <t>Год 2</t>
        </is>
      </c>
      <c r="G5" s="9" t="inlineStr">
        <is>
          <t>Год 3</t>
        </is>
      </c>
      <c r="H5" s="9" t="inlineStr">
        <is>
          <t>Год 4</t>
        </is>
      </c>
      <c r="I5" s="9" t="inlineStr">
        <is>
          <t>Год 5</t>
        </is>
      </c>
      <c r="J5" s="9" t="inlineStr">
        <is>
          <t>Итого 5 лет</t>
        </is>
      </c>
      <c r="K5" s="9" t="inlineStr">
        <is>
          <t>Доля</t>
        </is>
      </c>
      <c r="L5" s="9" t="inlineStr">
        <is>
          <t>Комментарий / источник</t>
        </is>
      </c>
    </row>
    <row r="6">
      <c r="B6" s="7" t="inlineStr">
        <is>
          <t>БЛОК 1. Облачная инфраструктура (OpEx)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B7" s="10" t="inlineStr">
        <is>
          <t>Compute: ноды / контейнеры / serverless</t>
        </is>
      </c>
      <c r="C7" s="16" t="inlineStr">
        <is>
          <t>пользователи</t>
        </is>
      </c>
      <c r="D7" s="17" t="n">
        <v>7200</v>
      </c>
      <c r="E7" s="22">
        <f>IF($D7="","",$D7*INDEX(Допущения!$C$25:$G$30,MATCH($C7,Допущения!$B$25:$B$30,0),1))</f>
        <v/>
      </c>
      <c r="F7" s="22">
        <f>IF($D7="","",$D7*INDEX(Допущения!$C$25:$G$30,MATCH($C7,Допущения!$B$25:$B$30,0),2))</f>
        <v/>
      </c>
      <c r="G7" s="22">
        <f>IF($D7="","",$D7*INDEX(Допущения!$C$25:$G$30,MATCH($C7,Допущения!$B$25:$B$30,0),3))</f>
        <v/>
      </c>
      <c r="H7" s="22">
        <f>IF($D7="","",$D7*INDEX(Допущения!$C$25:$G$30,MATCH($C7,Допущения!$B$25:$B$30,0),4))</f>
        <v/>
      </c>
      <c r="I7" s="22">
        <f>IF($D7="","",$D7*INDEX(Допущения!$C$25:$G$30,MATCH($C7,Допущения!$B$25:$B$30,0),5))</f>
        <v/>
      </c>
      <c r="J7" s="22">
        <f>SUM(E7:I7)</f>
        <v/>
      </c>
      <c r="K7" s="23" t="n"/>
      <c r="L7" s="24" t="inlineStr">
        <is>
          <t>Managed-контейнеры (Cloud Run, ECS Fargate или аналог): 2-4 инстанса Go-монолита + воркеры</t>
        </is>
      </c>
    </row>
    <row r="8">
      <c r="B8" s="10" t="inlineStr">
        <is>
          <t>Управляемые БД (PostgreSQL, реплики)</t>
        </is>
      </c>
      <c r="C8" s="16" t="inlineStr">
        <is>
          <t>пользователи</t>
        </is>
      </c>
      <c r="D8" s="17" t="n">
        <v>6000</v>
      </c>
      <c r="E8" s="22">
        <f>IF($D8="","",$D8*INDEX(Допущения!$C$25:$G$30,MATCH($C8,Допущения!$B$25:$B$30,0),1))</f>
        <v/>
      </c>
      <c r="F8" s="22">
        <f>IF($D8="","",$D8*INDEX(Допущения!$C$25:$G$30,MATCH($C8,Допущения!$B$25:$B$30,0),2))</f>
        <v/>
      </c>
      <c r="G8" s="22">
        <f>IF($D8="","",$D8*INDEX(Допущения!$C$25:$G$30,MATCH($C8,Допущения!$B$25:$B$30,0),3))</f>
        <v/>
      </c>
      <c r="H8" s="22">
        <f>IF($D8="","",$D8*INDEX(Допущения!$C$25:$G$30,MATCH($C8,Допущения!$B$25:$B$30,0),4))</f>
        <v/>
      </c>
      <c r="I8" s="22">
        <f>IF($D8="","",$D8*INDEX(Допущения!$C$25:$G$30,MATCH($C8,Допущения!$B$25:$B$30,0),5))</f>
        <v/>
      </c>
      <c r="J8" s="22">
        <f>SUM(E8:I8)</f>
        <v/>
      </c>
      <c r="K8" s="23" t="n"/>
      <c r="L8" s="24" t="inlineStr">
        <is>
          <t>Managed PostgreSQL HA: primary + standby</t>
        </is>
      </c>
    </row>
    <row r="9">
      <c r="B9" s="10" t="inlineStr">
        <is>
          <t>Хранилище объектов и резервные копии</t>
        </is>
      </c>
      <c r="C9" s="16" t="inlineStr">
        <is>
          <t>пользователи</t>
        </is>
      </c>
      <c r="D9" s="17" t="n">
        <v>1200</v>
      </c>
      <c r="E9" s="22">
        <f>IF($D9="","",$D9*INDEX(Допущения!$C$25:$G$30,MATCH($C9,Допущения!$B$25:$B$30,0),1))</f>
        <v/>
      </c>
      <c r="F9" s="22">
        <f>IF($D9="","",$D9*INDEX(Допущения!$C$25:$G$30,MATCH($C9,Допущения!$B$25:$B$30,0),2))</f>
        <v/>
      </c>
      <c r="G9" s="22">
        <f>IF($D9="","",$D9*INDEX(Допущения!$C$25:$G$30,MATCH($C9,Допущения!$B$25:$B$30,0),3))</f>
        <v/>
      </c>
      <c r="H9" s="22">
        <f>IF($D9="","",$D9*INDEX(Допущения!$C$25:$G$30,MATCH($C9,Допущения!$B$25:$B$30,0),4))</f>
        <v/>
      </c>
      <c r="I9" s="22">
        <f>IF($D9="","",$D9*INDEX(Допущения!$C$25:$G$30,MATCH($C9,Допущения!$B$25:$B$30,0),5))</f>
        <v/>
      </c>
      <c r="J9" s="22">
        <f>SUM(E9:I9)</f>
        <v/>
      </c>
      <c r="K9" s="23" t="n"/>
      <c r="L9" s="24" t="inlineStr">
        <is>
          <t>Объектное хранилище: фото 5000 SKU, бэкапы</t>
        </is>
      </c>
    </row>
    <row r="10">
      <c r="B10" s="10" t="inlineStr">
        <is>
          <t>CDN и исходящий трафик</t>
        </is>
      </c>
      <c r="C10" s="16" t="inlineStr">
        <is>
          <t>пользователи</t>
        </is>
      </c>
      <c r="D10" s="17" t="n">
        <v>4800</v>
      </c>
      <c r="E10" s="22">
        <f>IF($D10="","",$D10*INDEX(Допущения!$C$25:$G$30,MATCH($C10,Допущения!$B$25:$B$30,0),1))</f>
        <v/>
      </c>
      <c r="F10" s="22">
        <f>IF($D10="","",$D10*INDEX(Допущения!$C$25:$G$30,MATCH($C10,Допущения!$B$25:$B$30,0),2))</f>
        <v/>
      </c>
      <c r="G10" s="22">
        <f>IF($D10="","",$D10*INDEX(Допущения!$C$25:$G$30,MATCH($C10,Допущения!$B$25:$B$30,0),3))</f>
        <v/>
      </c>
      <c r="H10" s="22">
        <f>IF($D10="","",$D10*INDEX(Допущения!$C$25:$G$30,MATCH($C10,Допущения!$B$25:$B$30,0),4))</f>
        <v/>
      </c>
      <c r="I10" s="22">
        <f>IF($D10="","",$D10*INDEX(Допущения!$C$25:$G$30,MATCH($C10,Допущения!$B$25:$B$30,0),5))</f>
        <v/>
      </c>
      <c r="J10" s="22">
        <f>SUM(E10:I10)</f>
        <v/>
      </c>
      <c r="K10" s="23" t="n"/>
      <c r="L10" s="24" t="inlineStr">
        <is>
          <t>CDN для фото и статики, WebP, кеш на краю для 3G</t>
        </is>
      </c>
    </row>
    <row r="11">
      <c r="B11" s="10" t="inlineStr">
        <is>
          <t>Очереди / стриминг (Kafka, SQS)</t>
        </is>
      </c>
      <c r="C11" s="16" t="inlineStr">
        <is>
          <t>заказы</t>
        </is>
      </c>
      <c r="D11" s="17" t="n">
        <v>600</v>
      </c>
      <c r="E11" s="22">
        <f>IF($D11="","",$D11*INDEX(Допущения!$C$25:$G$30,MATCH($C11,Допущения!$B$25:$B$30,0),1))</f>
        <v/>
      </c>
      <c r="F11" s="22">
        <f>IF($D11="","",$D11*INDEX(Допущения!$C$25:$G$30,MATCH($C11,Допущения!$B$25:$B$30,0),2))</f>
        <v/>
      </c>
      <c r="G11" s="22">
        <f>IF($D11="","",$D11*INDEX(Допущения!$C$25:$G$30,MATCH($C11,Допущения!$B$25:$B$30,0),3))</f>
        <v/>
      </c>
      <c r="H11" s="22">
        <f>IF($D11="","",$D11*INDEX(Допущения!$C$25:$G$30,MATCH($C11,Допущения!$B$25:$B$30,0),4))</f>
        <v/>
      </c>
      <c r="I11" s="22">
        <f>IF($D11="","",$D11*INDEX(Допущения!$C$25:$G$30,MATCH($C11,Допущения!$B$25:$B$30,0),5))</f>
        <v/>
      </c>
      <c r="J11" s="22">
        <f>SUM(E11:I11)</f>
        <v/>
      </c>
      <c r="K11" s="23" t="n"/>
      <c r="L11" s="24" t="inlineStr">
        <is>
          <t>Managed-очередь (SQS, Pub/Sub) для уведомлений и вебхуков</t>
        </is>
      </c>
    </row>
    <row r="12">
      <c r="B12" s="10" t="inlineStr">
        <is>
          <t>Резервный регион / DR</t>
        </is>
      </c>
      <c r="C12" s="16" t="inlineStr">
        <is>
          <t>пользователи</t>
        </is>
      </c>
      <c r="D12" s="17" t="n">
        <v>3600</v>
      </c>
      <c r="E12" s="22">
        <f>IF($D12="","",$D12*INDEX(Допущения!$C$25:$G$30,MATCH($C12,Допущения!$B$25:$B$30,0),1))</f>
        <v/>
      </c>
      <c r="F12" s="22">
        <f>IF($D12="","",$D12*INDEX(Допущения!$C$25:$G$30,MATCH($C12,Допущения!$B$25:$B$30,0),2))</f>
        <v/>
      </c>
      <c r="G12" s="22">
        <f>IF($D12="","",$D12*INDEX(Допущения!$C$25:$G$30,MATCH($C12,Допущения!$B$25:$B$30,0),3))</f>
        <v/>
      </c>
      <c r="H12" s="22">
        <f>IF($D12="","",$D12*INDEX(Допущения!$C$25:$G$30,MATCH($C12,Допущения!$B$25:$B$30,0),4))</f>
        <v/>
      </c>
      <c r="I12" s="22">
        <f>IF($D12="","",$D12*INDEX(Допущения!$C$25:$G$30,MATCH($C12,Допущения!$B$25:$B$30,0),5))</f>
        <v/>
      </c>
      <c r="J12" s="22">
        <f>SUM(E12:I12)</f>
        <v/>
      </c>
      <c r="K12" s="23" t="n"/>
      <c r="L12" s="24" t="inlineStr">
        <is>
          <t>Warm standby: реплика БД и бэкапы во втором регионе</t>
        </is>
      </c>
    </row>
    <row r="13">
      <c r="B13" s="10" t="inlineStr">
        <is>
          <t>Локальное размещение данных (NDPR, Нигерия)</t>
        </is>
      </c>
      <c r="C13" s="16" t="inlineStr">
        <is>
          <t>инфляция</t>
        </is>
      </c>
      <c r="D13" s="17" t="n">
        <v>8400</v>
      </c>
      <c r="E13" s="22">
        <f>IF($D13="","",$D13*INDEX(Допущения!$C$25:$G$30,MATCH($C13,Допущения!$B$25:$B$30,0),1))</f>
        <v/>
      </c>
      <c r="F13" s="22">
        <f>IF($D13="","",$D13*INDEX(Допущения!$C$25:$G$30,MATCH($C13,Допущения!$B$25:$B$30,0),2))</f>
        <v/>
      </c>
      <c r="G13" s="22">
        <f>IF($D13="","",$D13*INDEX(Допущения!$C$25:$G$30,MATCH($C13,Допущения!$B$25:$B$30,0),3))</f>
        <v/>
      </c>
      <c r="H13" s="22">
        <f>IF($D13="","",$D13*INDEX(Допущения!$C$25:$G$30,MATCH($C13,Допущения!$B$25:$B$30,0),4))</f>
        <v/>
      </c>
      <c r="I13" s="22">
        <f>IF($D13="","",$D13*INDEX(Допущения!$C$25:$G$30,MATCH($C13,Допущения!$B$25:$B$30,0),5))</f>
        <v/>
      </c>
      <c r="J13" s="22">
        <f>SUM(E13:I13)</f>
        <v/>
      </c>
      <c r="K13" s="23" t="n"/>
      <c r="L13" s="24" t="inlineStr">
        <is>
          <t>Локальный провайдер в Нигерии: хранилище ПДн, 2 ВМ + БД</t>
        </is>
      </c>
    </row>
    <row r="14">
      <c r="B14" s="10" t="inlineStr">
        <is>
          <t>Мультирегион с Год 3 (по триггеру)</t>
        </is>
      </c>
      <c r="C14" s="16" t="inlineStr">
        <is>
          <t>фикс</t>
        </is>
      </c>
      <c r="D14" s="17" t="n"/>
      <c r="E14" s="17" t="n">
        <v>0</v>
      </c>
      <c r="F14" s="17" t="n">
        <v>0</v>
      </c>
      <c r="G14" s="17" t="n">
        <v>120000</v>
      </c>
      <c r="H14" s="17" t="n">
        <v>160000</v>
      </c>
      <c r="I14" s="17" t="n">
        <v>200000</v>
      </c>
      <c r="J14" s="22">
        <f>SUM(E14:I14)</f>
        <v/>
      </c>
      <c r="K14" s="23" t="n"/>
      <c r="L14" s="24" t="inlineStr">
        <is>
          <t>Переход на мультирегион с Год 3 по триггеру нагрузки. Числа введены вручную</t>
        </is>
      </c>
    </row>
    <row r="15">
      <c r="B15" s="25" t="inlineStr">
        <is>
          <t>Итого по блоку</t>
        </is>
      </c>
      <c r="C15" s="26" t="n"/>
      <c r="D15" s="26" t="n"/>
      <c r="E15" s="27">
        <f>SUM(E7:E14)</f>
        <v/>
      </c>
      <c r="F15" s="27">
        <f>SUM(F7:F14)</f>
        <v/>
      </c>
      <c r="G15" s="27">
        <f>SUM(G7:G14)</f>
        <v/>
      </c>
      <c r="H15" s="27">
        <f>SUM(H7:H14)</f>
        <v/>
      </c>
      <c r="I15" s="27">
        <f>SUM(I7:I14)</f>
        <v/>
      </c>
      <c r="J15" s="27">
        <f>SUM(J7:J14)</f>
        <v/>
      </c>
      <c r="K15" s="28">
        <f>IFERROR(J15/$J$51,0)</f>
        <v/>
      </c>
      <c r="L15" s="26" t="n"/>
    </row>
    <row r="16">
      <c r="C16" s="29" t="n"/>
    </row>
    <row r="17">
      <c r="B17" s="7" t="inlineStr">
        <is>
          <t>БЛОК 2. Лицензии, SaaS и инструменты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B18" s="10" t="inlineStr">
        <is>
          <t>Observability (метрики, логи, трейсинг)</t>
        </is>
      </c>
      <c r="C18" s="16" t="inlineStr">
        <is>
          <t>пользователи</t>
        </is>
      </c>
      <c r="D18" s="17" t="n">
        <v>1800</v>
      </c>
      <c r="E18" s="22">
        <f>IF($D18="","",$D18*INDEX(Допущения!$C$25:$G$30,MATCH($C18,Допущения!$B$25:$B$30,0),1))</f>
        <v/>
      </c>
      <c r="F18" s="22">
        <f>IF($D18="","",$D18*INDEX(Допущения!$C$25:$G$30,MATCH($C18,Допущения!$B$25:$B$30,0),2))</f>
        <v/>
      </c>
      <c r="G18" s="22">
        <f>IF($D18="","",$D18*INDEX(Допущения!$C$25:$G$30,MATCH($C18,Допущения!$B$25:$B$30,0),3))</f>
        <v/>
      </c>
      <c r="H18" s="22">
        <f>IF($D18="","",$D18*INDEX(Допущения!$C$25:$G$30,MATCH($C18,Допущения!$B$25:$B$30,0),4))</f>
        <v/>
      </c>
      <c r="I18" s="22">
        <f>IF($D18="","",$D18*INDEX(Допущения!$C$25:$G$30,MATCH($C18,Допущения!$B$25:$B$30,0),5))</f>
        <v/>
      </c>
      <c r="J18" s="22">
        <f>SUM(E18:I18)</f>
        <v/>
      </c>
      <c r="K18" s="23" t="n"/>
      <c r="L18" s="24" t="inlineStr">
        <is>
          <t>Managed Grafana + OpenTelemetry, базовый тариф</t>
        </is>
      </c>
    </row>
    <row r="19">
      <c r="B19" s="10" t="inlineStr">
        <is>
          <t>CI/CD, репозиторий, артефакты</t>
        </is>
      </c>
      <c r="C19" s="16" t="inlineStr">
        <is>
          <t>инфляция</t>
        </is>
      </c>
      <c r="D19" s="17" t="n">
        <v>1200</v>
      </c>
      <c r="E19" s="22">
        <f>IF($D19="","",$D19*INDEX(Допущения!$C$25:$G$30,MATCH($C19,Допущения!$B$25:$B$30,0),1))</f>
        <v/>
      </c>
      <c r="F19" s="22">
        <f>IF($D19="","",$D19*INDEX(Допущения!$C$25:$G$30,MATCH($C19,Допущения!$B$25:$B$30,0),2))</f>
        <v/>
      </c>
      <c r="G19" s="22">
        <f>IF($D19="","",$D19*INDEX(Допущения!$C$25:$G$30,MATCH($C19,Допущения!$B$25:$B$30,0),3))</f>
        <v/>
      </c>
      <c r="H19" s="22">
        <f>IF($D19="","",$D19*INDEX(Допущения!$C$25:$G$30,MATCH($C19,Допущения!$B$25:$B$30,0),4))</f>
        <v/>
      </c>
      <c r="I19" s="22">
        <f>IF($D19="","",$D19*INDEX(Допущения!$C$25:$G$30,MATCH($C19,Допущения!$B$25:$B$30,0),5))</f>
        <v/>
      </c>
      <c r="J19" s="22">
        <f>SUM(E19:I19)</f>
        <v/>
      </c>
      <c r="K19" s="23" t="n"/>
      <c r="L19" s="24" t="inlineStr">
        <is>
          <t>GitHub Team + Actions</t>
        </is>
      </c>
    </row>
    <row r="20">
      <c r="B20" s="10" t="inlineStr">
        <is>
          <t>Безопасность: WAF, секреты, антифрод</t>
        </is>
      </c>
      <c r="C20" s="16" t="inlineStr">
        <is>
          <t>пользователи</t>
        </is>
      </c>
      <c r="D20" s="17" t="n">
        <v>1800</v>
      </c>
      <c r="E20" s="22">
        <f>IF($D20="","",$D20*INDEX(Допущения!$C$25:$G$30,MATCH($C20,Допущения!$B$25:$B$30,0),1))</f>
        <v/>
      </c>
      <c r="F20" s="22">
        <f>IF($D20="","",$D20*INDEX(Допущения!$C$25:$G$30,MATCH($C20,Допущения!$B$25:$B$30,0),2))</f>
        <v/>
      </c>
      <c r="G20" s="22">
        <f>IF($D20="","",$D20*INDEX(Допущения!$C$25:$G$30,MATCH($C20,Допущения!$B$25:$B$30,0),3))</f>
        <v/>
      </c>
      <c r="H20" s="22">
        <f>IF($D20="","",$D20*INDEX(Допущения!$C$25:$G$30,MATCH($C20,Допущения!$B$25:$B$30,0),4))</f>
        <v/>
      </c>
      <c r="I20" s="22">
        <f>IF($D20="","",$D20*INDEX(Допущения!$C$25:$G$30,MATCH($C20,Допущения!$B$25:$B$30,0),5))</f>
        <v/>
      </c>
      <c r="J20" s="22">
        <f>SUM(E20:I20)</f>
        <v/>
      </c>
      <c r="K20" s="23" t="n"/>
      <c r="L20" s="24" t="inlineStr">
        <is>
          <t>WAF, секреты, сертификаты</t>
        </is>
      </c>
    </row>
    <row r="21" ht="15.75" customHeight="1" s="33">
      <c r="B21" s="10" t="inlineStr">
        <is>
          <t>WhatsApp Business API (подписка)</t>
        </is>
      </c>
      <c r="C21" s="16" t="inlineStr">
        <is>
          <t>инфляция</t>
        </is>
      </c>
      <c r="D21" s="17" t="n">
        <v>1200</v>
      </c>
      <c r="E21" s="22">
        <f>IF($D21="","",$D21*INDEX(Допущения!$C$25:$G$30,MATCH($C21,Допущения!$B$25:$B$30,0),1))</f>
        <v/>
      </c>
      <c r="F21" s="22">
        <f>IF($D21="","",$D21*INDEX(Допущения!$C$25:$G$30,MATCH($C21,Допущения!$B$25:$B$30,0),2))</f>
        <v/>
      </c>
      <c r="G21" s="22">
        <f>IF($D21="","",$D21*INDEX(Допущения!$C$25:$G$30,MATCH($C21,Допущения!$B$25:$B$30,0),3))</f>
        <v/>
      </c>
      <c r="H21" s="22">
        <f>IF($D21="","",$D21*INDEX(Допущения!$C$25:$G$30,MATCH($C21,Допущения!$B$25:$B$30,0),4))</f>
        <v/>
      </c>
      <c r="I21" s="22">
        <f>IF($D21="","",$D21*INDEX(Допущения!$C$25:$G$30,MATCH($C21,Допущения!$B$25:$B$30,0),5))</f>
        <v/>
      </c>
      <c r="J21" s="22">
        <f>SUM(E21:I21)</f>
        <v/>
      </c>
      <c r="K21" s="23" t="n"/>
      <c r="L21" s="24" t="inlineStr">
        <is>
          <t>BSP-подписка WhatsApp Business API</t>
        </is>
      </c>
    </row>
    <row r="22" ht="15.75" customHeight="1" s="33">
      <c r="B22" s="10" t="inlineStr">
        <is>
          <t>Прочее ПО и подписки</t>
        </is>
      </c>
      <c r="C22" s="16" t="inlineStr">
        <is>
          <t>инфляция</t>
        </is>
      </c>
      <c r="D22" s="17" t="n">
        <v>1200</v>
      </c>
      <c r="E22" s="22">
        <f>IF($D22="","",$D22*INDEX(Допущения!$C$25:$G$30,MATCH($C22,Допущения!$B$25:$B$30,0),1))</f>
        <v/>
      </c>
      <c r="F22" s="22">
        <f>IF($D22="","",$D22*INDEX(Допущения!$C$25:$G$30,MATCH($C22,Допущения!$B$25:$B$30,0),2))</f>
        <v/>
      </c>
      <c r="G22" s="22">
        <f>IF($D22="","",$D22*INDEX(Допущения!$C$25:$G$30,MATCH($C22,Допущения!$B$25:$B$30,0),3))</f>
        <v/>
      </c>
      <c r="H22" s="22">
        <f>IF($D22="","",$D22*INDEX(Допущения!$C$25:$G$30,MATCH($C22,Допущения!$B$25:$B$30,0),4))</f>
        <v/>
      </c>
      <c r="I22" s="22">
        <f>IF($D22="","",$D22*INDEX(Допущения!$C$25:$G$30,MATCH($C22,Допущения!$B$25:$B$30,0),5))</f>
        <v/>
      </c>
      <c r="J22" s="22">
        <f>SUM(E22:I22)</f>
        <v/>
      </c>
      <c r="K22" s="23" t="n"/>
      <c r="L22" s="24" t="inlineStr">
        <is>
          <t>Трекер, дизайн</t>
        </is>
      </c>
    </row>
    <row r="23" ht="15.75" customHeight="1" s="33">
      <c r="B23" s="10" t="n"/>
      <c r="C23" s="16" t="inlineStr">
        <is>
          <t>фикс</t>
        </is>
      </c>
      <c r="D23" s="17" t="n"/>
      <c r="E23" s="22">
        <f>IF($D23="","",$D23*INDEX(Допущения!$C$25:$G$30,MATCH($C23,Допущения!$B$25:$B$30,0),1))</f>
        <v/>
      </c>
      <c r="F23" s="22">
        <f>IF($D23="","",$D23*INDEX(Допущения!$C$25:$G$30,MATCH($C23,Допущения!$B$25:$B$30,0),2))</f>
        <v/>
      </c>
      <c r="G23" s="22">
        <f>IF($D23="","",$D23*INDEX(Допущения!$C$25:$G$30,MATCH($C23,Допущения!$B$25:$B$30,0),3))</f>
        <v/>
      </c>
      <c r="H23" s="22">
        <f>IF($D23="","",$D23*INDEX(Допущения!$C$25:$G$30,MATCH($C23,Допущения!$B$25:$B$30,0),4))</f>
        <v/>
      </c>
      <c r="I23" s="22">
        <f>IF($D23="","",$D23*INDEX(Допущения!$C$25:$G$30,MATCH($C23,Допущения!$B$25:$B$30,0),5))</f>
        <v/>
      </c>
      <c r="J23" s="22">
        <f>SUM(E23:I23)</f>
        <v/>
      </c>
      <c r="K23" s="23" t="n"/>
      <c r="L23" s="24" t="inlineStr">
        <is>
          <t>Своя статья</t>
        </is>
      </c>
    </row>
    <row r="24" ht="15.75" customHeight="1" s="33">
      <c r="B24" s="25" t="inlineStr">
        <is>
          <t>Итого по блоку</t>
        </is>
      </c>
      <c r="C24" s="26" t="n"/>
      <c r="D24" s="26" t="n"/>
      <c r="E24" s="27">
        <f>SUM(E18:E23)</f>
        <v/>
      </c>
      <c r="F24" s="27">
        <f>SUM(F18:F23)</f>
        <v/>
      </c>
      <c r="G24" s="27">
        <f>SUM(G18:G23)</f>
        <v/>
      </c>
      <c r="H24" s="27">
        <f>SUM(H18:H23)</f>
        <v/>
      </c>
      <c r="I24" s="27">
        <f>SUM(I18:I23)</f>
        <v/>
      </c>
      <c r="J24" s="27">
        <f>SUM(J18:J23)</f>
        <v/>
      </c>
      <c r="K24" s="28">
        <f>IFERROR(J24/$J$51,0)</f>
        <v/>
      </c>
      <c r="L24" s="26" t="n"/>
    </row>
    <row r="25" ht="15.75" customHeight="1" s="33">
      <c r="C25" s="29" t="n"/>
    </row>
    <row r="26" ht="15.75" customHeight="1" s="33">
      <c r="B26" s="7" t="inlineStr">
        <is>
          <t>БЛОК 3. Транзакционные расходы (Buy / Partner)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5.75" customHeight="1" s="33">
      <c r="B27" s="10" t="inlineStr">
        <is>
          <t>Комиссии платёжных провайдеров</t>
        </is>
      </c>
      <c r="C27" s="16" t="inlineStr">
        <is>
          <t>GMV</t>
        </is>
      </c>
      <c r="D27" s="17" t="n">
        <v>480000</v>
      </c>
      <c r="E27" s="22">
        <f>IF($D27="","",$D27*INDEX(Допущения!$C$25:$G$30,MATCH($C27,Допущения!$B$25:$B$30,0),1))</f>
        <v/>
      </c>
      <c r="F27" s="22">
        <f>IF($D27="","",$D27*INDEX(Допущения!$C$25:$G$30,MATCH($C27,Допущения!$B$25:$B$30,0),2))</f>
        <v/>
      </c>
      <c r="G27" s="22">
        <f>IF($D27="","",$D27*INDEX(Допущения!$C$25:$G$30,MATCH($C27,Допущения!$B$25:$B$30,0),3))</f>
        <v/>
      </c>
      <c r="H27" s="22">
        <f>IF($D27="","",$D27*INDEX(Допущения!$C$25:$G$30,MATCH($C27,Допущения!$B$25:$B$30,0),4))</f>
        <v/>
      </c>
      <c r="I27" s="22">
        <f>IF($D27="","",$D27*INDEX(Допущения!$C$25:$G$30,MATCH($C27,Допущения!$B$25:$B$30,0),5))</f>
        <v/>
      </c>
      <c r="J27" s="22">
        <f>SUM(E27:I27)</f>
        <v/>
      </c>
      <c r="K27" s="23" t="n"/>
      <c r="L27" s="24" t="inlineStr">
        <is>
          <t>2,0% GMV all-in: M-Pesa Daraja (KE), Flutterwave и Paystack (NG). Лимит CFO 2,5% (А6). Одинаково для всех вариантов</t>
        </is>
      </c>
    </row>
    <row r="28" ht="15.75" customHeight="1" s="33">
      <c r="B28" s="10" t="inlineStr">
        <is>
          <t>SMS-уведомления</t>
        </is>
      </c>
      <c r="C28" s="16" t="inlineStr">
        <is>
          <t>заказы</t>
        </is>
      </c>
      <c r="D28" s="17" t="n">
        <v>90000</v>
      </c>
      <c r="E28" s="22">
        <f>IF($D28="","",$D28*INDEX(Допущения!$C$25:$G$30,MATCH($C28,Допущения!$B$25:$B$30,0),1))</f>
        <v/>
      </c>
      <c r="F28" s="22">
        <f>IF($D28="","",$D28*INDEX(Допущения!$C$25:$G$30,MATCH($C28,Допущения!$B$25:$B$30,0),2))</f>
        <v/>
      </c>
      <c r="G28" s="22">
        <f>IF($D28="","",$D28*INDEX(Допущения!$C$25:$G$30,MATCH($C28,Допущения!$B$25:$B$30,0),3))</f>
        <v/>
      </c>
      <c r="H28" s="22">
        <f>IF($D28="","",$D28*INDEX(Допущения!$C$25:$G$30,MATCH($C28,Допущения!$B$25:$B$30,0),4))</f>
        <v/>
      </c>
      <c r="I28" s="22">
        <f>IF($D28="","",$D28*INDEX(Допущения!$C$25:$G$30,MATCH($C28,Допущения!$B$25:$B$30,0),5))</f>
        <v/>
      </c>
      <c r="J28" s="22">
        <f>SUM(E28:I28)</f>
        <v/>
      </c>
      <c r="K28" s="23" t="n"/>
      <c r="L28" s="24" t="inlineStr">
        <is>
          <t>3 SMS на заказ × $0,025</t>
        </is>
      </c>
    </row>
    <row r="29" ht="15.75" customHeight="1" s="33">
      <c r="B29" s="10" t="inlineStr">
        <is>
          <t>WhatsApp-сообщения (за диалог)</t>
        </is>
      </c>
      <c r="C29" s="16" t="inlineStr">
        <is>
          <t>заказы</t>
        </is>
      </c>
      <c r="D29" s="17" t="n">
        <v>18000</v>
      </c>
      <c r="E29" s="22">
        <f>IF($D29="","",$D29*INDEX(Допущения!$C$25:$G$30,MATCH($C29,Допущения!$B$25:$B$30,0),1))</f>
        <v/>
      </c>
      <c r="F29" s="22">
        <f>IF($D29="","",$D29*INDEX(Допущения!$C$25:$G$30,MATCH($C29,Допущения!$B$25:$B$30,0),2))</f>
        <v/>
      </c>
      <c r="G29" s="22">
        <f>IF($D29="","",$D29*INDEX(Допущения!$C$25:$G$30,MATCH($C29,Допущения!$B$25:$B$30,0),3))</f>
        <v/>
      </c>
      <c r="H29" s="22">
        <f>IF($D29="","",$D29*INDEX(Допущения!$C$25:$G$30,MATCH($C29,Допущения!$B$25:$B$30,0),4))</f>
        <v/>
      </c>
      <c r="I29" s="22">
        <f>IF($D29="","",$D29*INDEX(Допущения!$C$25:$G$30,MATCH($C29,Допущения!$B$25:$B$30,0),5))</f>
        <v/>
      </c>
      <c r="J29" s="22">
        <f>SUM(E29:I29)</f>
        <v/>
      </c>
      <c r="K29" s="23" t="n"/>
      <c r="L29" s="24" t="inlineStr">
        <is>
          <t>1 utility-диалог WhatsApp на заказ × $0,015</t>
        </is>
      </c>
    </row>
    <row r="30" ht="15.75" customHeight="1" s="33">
      <c r="B30" s="10" t="inlineStr">
        <is>
          <t>Логистика: интеграции и комиссии партнёров</t>
        </is>
      </c>
      <c r="C30" s="16" t="inlineStr">
        <is>
          <t>заказы</t>
        </is>
      </c>
      <c r="D30" s="17" t="n">
        <v>180000</v>
      </c>
      <c r="E30" s="22">
        <f>IF($D30="","",$D30*INDEX(Допущения!$C$25:$G$30,MATCH($C30,Допущения!$B$25:$B$30,0),1))</f>
        <v/>
      </c>
      <c r="F30" s="22">
        <f>IF($D30="","",$D30*INDEX(Допущения!$C$25:$G$30,MATCH($C30,Допущения!$B$25:$B$30,0),2))</f>
        <v/>
      </c>
      <c r="G30" s="22">
        <f>IF($D30="","",$D30*INDEX(Допущения!$C$25:$G$30,MATCH($C30,Допущения!$B$25:$B$30,0),3))</f>
        <v/>
      </c>
      <c r="H30" s="22">
        <f>IF($D30="","",$D30*INDEX(Допущения!$C$25:$G$30,MATCH($C30,Допущения!$B$25:$B$30,0),4))</f>
        <v/>
      </c>
      <c r="I30" s="22">
        <f>IF($D30="","",$D30*INDEX(Допущения!$C$25:$G$30,MATCH($C30,Допущения!$B$25:$B$30,0),5))</f>
        <v/>
      </c>
      <c r="J30" s="22">
        <f>SUM(E30:I30)</f>
        <v/>
      </c>
      <c r="K30" s="23" t="n"/>
      <c r="L30" s="24" t="inlineStr">
        <is>
          <t>Сбор API Sendbox и Sendy $0,15 на заказ. Тариф доставки платит покупатель</t>
        </is>
      </c>
    </row>
    <row r="31" ht="15.75" customHeight="1" s="33">
      <c r="B31" s="10" t="n"/>
      <c r="C31" s="16" t="inlineStr">
        <is>
          <t>фикс</t>
        </is>
      </c>
      <c r="D31" s="17" t="n"/>
      <c r="E31" s="22">
        <f>IF($D31="","",$D31*INDEX(Допущения!$C$25:$G$30,MATCH($C31,Допущения!$B$25:$B$30,0),1))</f>
        <v/>
      </c>
      <c r="F31" s="22">
        <f>IF($D31="","",$D31*INDEX(Допущения!$C$25:$G$30,MATCH($C31,Допущения!$B$25:$B$30,0),2))</f>
        <v/>
      </c>
      <c r="G31" s="22">
        <f>IF($D31="","",$D31*INDEX(Допущения!$C$25:$G$30,MATCH($C31,Допущения!$B$25:$B$30,0),3))</f>
        <v/>
      </c>
      <c r="H31" s="22">
        <f>IF($D31="","",$D31*INDEX(Допущения!$C$25:$G$30,MATCH($C31,Допущения!$B$25:$B$30,0),4))</f>
        <v/>
      </c>
      <c r="I31" s="22">
        <f>IF($D31="","",$D31*INDEX(Допущения!$C$25:$G$30,MATCH($C31,Допущения!$B$25:$B$30,0),5))</f>
        <v/>
      </c>
      <c r="J31" s="22">
        <f>SUM(E31:I31)</f>
        <v/>
      </c>
      <c r="K31" s="23" t="n"/>
      <c r="L31" s="24" t="inlineStr">
        <is>
          <t>Своя статья</t>
        </is>
      </c>
    </row>
    <row r="32" ht="15.75" customHeight="1" s="33">
      <c r="B32" s="25" t="inlineStr">
        <is>
          <t>Итого по блоку</t>
        </is>
      </c>
      <c r="C32" s="26" t="n"/>
      <c r="D32" s="26" t="n"/>
      <c r="E32" s="27">
        <f>SUM(E27:E31)</f>
        <v/>
      </c>
      <c r="F32" s="27">
        <f>SUM(F27:F31)</f>
        <v/>
      </c>
      <c r="G32" s="27">
        <f>SUM(G27:G31)</f>
        <v/>
      </c>
      <c r="H32" s="27">
        <f>SUM(H27:H31)</f>
        <v/>
      </c>
      <c r="I32" s="27">
        <f>SUM(I27:I31)</f>
        <v/>
      </c>
      <c r="J32" s="27">
        <f>SUM(J27:J31)</f>
        <v/>
      </c>
      <c r="K32" s="28">
        <f>IFERROR(J32/$J$51,0)</f>
        <v/>
      </c>
      <c r="L32" s="26" t="n"/>
    </row>
    <row r="33" ht="15.75" customHeight="1" s="33">
      <c r="C33" s="29" t="n"/>
    </row>
    <row r="34" ht="15.75" customHeight="1" s="33">
      <c r="B34" s="7" t="inlineStr">
        <is>
          <t>БЛОК 4. Команда (ФОТ)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5.75" customHeight="1" s="33">
      <c r="B35" s="10" t="inlineStr">
        <is>
          <t>Разработка (FTE × годовая ставка)</t>
        </is>
      </c>
      <c r="C35" s="16" t="inlineStr">
        <is>
          <t>ФОТ</t>
        </is>
      </c>
      <c r="D35" s="17" t="n">
        <v>300000</v>
      </c>
      <c r="E35" s="22">
        <f>IF($D35="","",$D35*INDEX(Допущения!$C$25:$G$30,MATCH($C35,Допущения!$B$25:$B$30,0),1))</f>
        <v/>
      </c>
      <c r="F35" s="22">
        <f>IF($D35="","",$D35*INDEX(Допущения!$C$25:$G$30,MATCH($C35,Допущения!$B$25:$B$30,0),2))</f>
        <v/>
      </c>
      <c r="G35" s="22">
        <f>IF($D35="","",$D35*INDEX(Допущения!$C$25:$G$30,MATCH($C35,Допущения!$B$25:$B$30,0),3))</f>
        <v/>
      </c>
      <c r="H35" s="22">
        <f>IF($D35="","",$D35*INDEX(Допущения!$C$25:$G$30,MATCH($C35,Допущения!$B$25:$B$30,0),4))</f>
        <v/>
      </c>
      <c r="I35" s="22">
        <f>IF($D35="","",$D35*INDEX(Допущения!$C$25:$G$30,MATCH($C35,Допущения!$B$25:$B$30,0),5))</f>
        <v/>
      </c>
      <c r="J35" s="22">
        <f>SUM(E35:I35)</f>
        <v/>
      </c>
      <c r="K35" s="23" t="n"/>
      <c r="L35" s="24" t="inlineStr">
        <is>
          <t>5 контракторов × $60k</t>
        </is>
      </c>
    </row>
    <row r="36" ht="15.75" customHeight="1" s="33">
      <c r="B36" s="10" t="inlineStr">
        <is>
          <t>DevOps / SRE</t>
        </is>
      </c>
      <c r="C36" s="16" t="inlineStr">
        <is>
          <t>ФОТ</t>
        </is>
      </c>
      <c r="D36" s="17" t="n">
        <v>60000</v>
      </c>
      <c r="E36" s="22">
        <f>IF($D36="","",$D36*INDEX(Допущения!$C$25:$G$30,MATCH($C36,Допущения!$B$25:$B$30,0),1))</f>
        <v/>
      </c>
      <c r="F36" s="22">
        <f>IF($D36="","",$D36*INDEX(Допущения!$C$25:$G$30,MATCH($C36,Допущения!$B$25:$B$30,0),2))</f>
        <v/>
      </c>
      <c r="G36" s="22">
        <f>IF($D36="","",$D36*INDEX(Допущения!$C$25:$G$30,MATCH($C36,Допущения!$B$25:$B$30,0),3))</f>
        <v/>
      </c>
      <c r="H36" s="22">
        <f>IF($D36="","",$D36*INDEX(Допущения!$C$25:$G$30,MATCH($C36,Допущения!$B$25:$B$30,0),4))</f>
        <v/>
      </c>
      <c r="I36" s="22">
        <f>IF($D36="","",$D36*INDEX(Допущения!$C$25:$G$30,MATCH($C36,Допущения!$B$25:$B$30,0),5))</f>
        <v/>
      </c>
      <c r="J36" s="22">
        <f>SUM(E36:I36)</f>
        <v/>
      </c>
      <c r="K36" s="23" t="n"/>
      <c r="L36" s="24" t="inlineStr">
        <is>
          <t>1 DevOps: БД и очереди эксплуатирует провайдер</t>
        </is>
      </c>
    </row>
    <row r="37" ht="15.75" customHeight="1" s="33">
      <c r="B37" s="10" t="inlineStr">
        <is>
          <t>Поддержка и дежурства 24/7</t>
        </is>
      </c>
      <c r="C37" s="16" t="inlineStr">
        <is>
          <t>ФОТ</t>
        </is>
      </c>
      <c r="D37" s="17" t="n">
        <v>24000</v>
      </c>
      <c r="E37" s="22">
        <f>IF($D37="","",$D37*INDEX(Допущения!$C$25:$G$30,MATCH($C37,Допущения!$B$25:$B$30,0),1))</f>
        <v/>
      </c>
      <c r="F37" s="22">
        <f>IF($D37="","",$D37*INDEX(Допущения!$C$25:$G$30,MATCH($C37,Допущения!$B$25:$B$30,0),2))</f>
        <v/>
      </c>
      <c r="G37" s="22">
        <f>IF($D37="","",$D37*INDEX(Допущения!$C$25:$G$30,MATCH($C37,Допущения!$B$25:$B$30,0),3))</f>
        <v/>
      </c>
      <c r="H37" s="22">
        <f>IF($D37="","",$D37*INDEX(Допущения!$C$25:$G$30,MATCH($C37,Допущения!$B$25:$B$30,0),4))</f>
        <v/>
      </c>
      <c r="I37" s="22">
        <f>IF($D37="","",$D37*INDEX(Допущения!$C$25:$G$30,MATCH($C37,Допущения!$B$25:$B$30,0),5))</f>
        <v/>
      </c>
      <c r="J37" s="22">
        <f>SUM(E37:I37)</f>
        <v/>
      </c>
      <c r="K37" s="23" t="n"/>
      <c r="L37" s="24" t="inlineStr">
        <is>
          <t>Надбавка за ротацию дежурств внутри 6 контракторов</t>
        </is>
      </c>
    </row>
    <row r="38" ht="15.75" customHeight="1" s="33">
      <c r="B38" s="10" t="inlineStr">
        <is>
          <t>Архитектура и менеджмент</t>
        </is>
      </c>
      <c r="C38" s="16" t="inlineStr">
        <is>
          <t>ФОТ</t>
        </is>
      </c>
      <c r="D38" s="17" t="n">
        <v>150000</v>
      </c>
      <c r="E38" s="22">
        <f>IF($D38="","",$D38*INDEX(Допущения!$C$25:$G$30,MATCH($C38,Допущения!$B$25:$B$30,0),1))</f>
        <v/>
      </c>
      <c r="F38" s="22">
        <f>IF($D38="","",$D38*INDEX(Допущения!$C$25:$G$30,MATCH($C38,Допущения!$B$25:$B$30,0),2))</f>
        <v/>
      </c>
      <c r="G38" s="22">
        <f>IF($D38="","",$D38*INDEX(Допущения!$C$25:$G$30,MATCH($C38,Допущения!$B$25:$B$30,0),3))</f>
        <v/>
      </c>
      <c r="H38" s="22">
        <f>IF($D38="","",$D38*INDEX(Допущения!$C$25:$G$30,MATCH($C38,Допущения!$B$25:$B$30,0),4))</f>
        <v/>
      </c>
      <c r="I38" s="22">
        <f>IF($D38="","",$D38*INDEX(Допущения!$C$25:$G$30,MATCH($C38,Допущения!$B$25:$B$30,0),5))</f>
        <v/>
      </c>
      <c r="J38" s="22">
        <f>SUM(E38:I38)</f>
        <v/>
      </c>
      <c r="K38" s="23" t="n"/>
      <c r="L38" s="24" t="inlineStr">
        <is>
          <t>CTO и SA, доля на платформу. Одинаково во всех вариантах</t>
        </is>
      </c>
    </row>
    <row r="39" ht="15.75" customHeight="1" s="33">
      <c r="B39" s="10" t="inlineStr">
        <is>
          <t>Усиление SRE с Год 3</t>
        </is>
      </c>
      <c r="C39" s="16" t="inlineStr">
        <is>
          <t>фикс</t>
        </is>
      </c>
      <c r="D39" s="17" t="n"/>
      <c r="E39" s="17" t="n">
        <v>0</v>
      </c>
      <c r="F39" s="17" t="n">
        <v>0</v>
      </c>
      <c r="G39" s="17" t="n">
        <v>120000</v>
      </c>
      <c r="H39" s="17" t="n">
        <v>132000</v>
      </c>
      <c r="I39" s="17" t="n">
        <v>145000</v>
      </c>
      <c r="J39" s="22">
        <f>SUM(E39:I39)</f>
        <v/>
      </c>
      <c r="K39" s="23" t="n"/>
      <c r="L39" s="24" t="inlineStr">
        <is>
          <t>+2 SRE при переходе на мультирегион. Числа введены вручную</t>
        </is>
      </c>
    </row>
    <row r="40" ht="15.75" customHeight="1" s="33">
      <c r="B40" s="25" t="inlineStr">
        <is>
          <t>Итого по блоку</t>
        </is>
      </c>
      <c r="C40" s="26" t="n"/>
      <c r="D40" s="26" t="n"/>
      <c r="E40" s="27">
        <f>SUM(E35:E39)</f>
        <v/>
      </c>
      <c r="F40" s="27">
        <f>SUM(F35:F39)</f>
        <v/>
      </c>
      <c r="G40" s="27">
        <f>SUM(G35:G39)</f>
        <v/>
      </c>
      <c r="H40" s="27">
        <f>SUM(H35:H39)</f>
        <v/>
      </c>
      <c r="I40" s="27">
        <f>SUM(I35:I39)</f>
        <v/>
      </c>
      <c r="J40" s="27">
        <f>SUM(J35:J39)</f>
        <v/>
      </c>
      <c r="K40" s="28">
        <f>IFERROR(J40/$J$51,0)</f>
        <v/>
      </c>
      <c r="L40" s="26" t="n"/>
    </row>
    <row r="41" ht="15.75" customHeight="1" s="33">
      <c r="C41" s="29" t="n"/>
    </row>
    <row r="42" ht="15.75" customHeight="1" s="33">
      <c r="B42" s="7" t="inlineStr">
        <is>
          <t>БЛОК 5. Разовые затраты и комплаенс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5.75" customHeight="1" s="33">
      <c r="B43" s="10" t="inlineStr">
        <is>
          <t>Юридический и комплаенс-аудит (NDPR, POPIA, KICA)</t>
        </is>
      </c>
      <c r="C43" s="16" t="inlineStr">
        <is>
          <t>фикс</t>
        </is>
      </c>
      <c r="D43" s="17" t="n">
        <v>25000</v>
      </c>
      <c r="E43" s="22">
        <f>IF($D43="","",$D43*INDEX(Допущения!$C$25:$G$30,MATCH($C43,Допущения!$B$25:$B$30,0),1))</f>
        <v/>
      </c>
      <c r="F43" s="17" t="n">
        <v>10000</v>
      </c>
      <c r="G43" s="17" t="n">
        <v>10000</v>
      </c>
      <c r="H43" s="17" t="n">
        <v>10000</v>
      </c>
      <c r="I43" s="17" t="n">
        <v>10000</v>
      </c>
      <c r="J43" s="22">
        <f>SUM(E43:I43)</f>
        <v/>
      </c>
      <c r="K43" s="23" t="n"/>
      <c r="L43" s="24" t="inlineStr">
        <is>
          <t>Регистрация NDPC, DPO, аудит. Далее ежегодный аудит NDPR $10k (А3)</t>
        </is>
      </c>
    </row>
    <row r="44" ht="15.75" customHeight="1" s="33">
      <c r="B44" s="10" t="inlineStr">
        <is>
          <t>Пентест и аудит безопасности</t>
        </is>
      </c>
      <c r="C44" s="16" t="inlineStr">
        <is>
          <t>инфляция</t>
        </is>
      </c>
      <c r="D44" s="17" t="n">
        <v>10000</v>
      </c>
      <c r="E44" s="22">
        <f>IF($D44="","",$D44*INDEX(Допущения!$C$25:$G$30,MATCH($C44,Допущения!$B$25:$B$30,0),1))</f>
        <v/>
      </c>
      <c r="F44" s="22">
        <f>IF($D44="","",$D44*INDEX(Допущения!$C$25:$G$30,MATCH($C44,Допущения!$B$25:$B$30,0),2))</f>
        <v/>
      </c>
      <c r="G44" s="22">
        <f>IF($D44="","",$D44*INDEX(Допущения!$C$25:$G$30,MATCH($C44,Допущения!$B$25:$B$30,0),3))</f>
        <v/>
      </c>
      <c r="H44" s="22">
        <f>IF($D44="","",$D44*INDEX(Допущения!$C$25:$G$30,MATCH($C44,Допущения!$B$25:$B$30,0),4))</f>
        <v/>
      </c>
      <c r="I44" s="22">
        <f>IF($D44="","",$D44*INDEX(Допущения!$C$25:$G$30,MATCH($C44,Допущения!$B$25:$B$30,0),5))</f>
        <v/>
      </c>
      <c r="J44" s="22">
        <f>SUM(E44:I44)</f>
        <v/>
      </c>
      <c r="K44" s="23" t="n"/>
      <c r="L44" s="24" t="inlineStr">
        <is>
          <t>Ежегодный пентест</t>
        </is>
      </c>
    </row>
    <row r="45" ht="15.75" customHeight="1" s="33">
      <c r="B45" s="10" t="inlineStr">
        <is>
          <t>Миграция данных и интеграции при запуске</t>
        </is>
      </c>
      <c r="C45" s="16" t="inlineStr">
        <is>
          <t>фикс</t>
        </is>
      </c>
      <c r="D45" s="17" t="n">
        <v>0</v>
      </c>
      <c r="E45" s="22">
        <f>IF($D45="","",$D45*INDEX(Допущения!$C$25:$G$30,MATCH($C45,Допущения!$B$25:$B$30,0),1))</f>
        <v/>
      </c>
      <c r="F45" s="22">
        <f>IF($D45="","",$D45*INDEX(Допущения!$C$25:$G$30,MATCH($C45,Допущения!$B$25:$B$30,0),2))</f>
        <v/>
      </c>
      <c r="G45" s="22">
        <f>IF($D45="","",$D45*INDEX(Допущения!$C$25:$G$30,MATCH($C45,Допущения!$B$25:$B$30,0),3))</f>
        <v/>
      </c>
      <c r="H45" s="22">
        <f>IF($D45="","",$D45*INDEX(Допущения!$C$25:$G$30,MATCH($C45,Допущения!$B$25:$B$30,0),4))</f>
        <v/>
      </c>
      <c r="I45" s="22">
        <f>IF($D45="","",$D45*INDEX(Допущения!$C$25:$G$30,MATCH($C45,Допущения!$B$25:$B$30,0),5))</f>
        <v/>
      </c>
      <c r="J45" s="22">
        <f>SUM(E45:I45)</f>
        <v/>
      </c>
      <c r="K45" s="23" t="n"/>
      <c r="L45" s="24" t="inlineStr">
        <is>
          <t>Greenfield, миграции нет</t>
        </is>
      </c>
    </row>
    <row r="46" ht="15.75" customHeight="1" s="33">
      <c r="B46" s="10" t="inlineStr">
        <is>
          <t>Обучение команды и найм</t>
        </is>
      </c>
      <c r="C46" s="16" t="inlineStr">
        <is>
          <t>фикс</t>
        </is>
      </c>
      <c r="D46" s="17" t="n">
        <v>0</v>
      </c>
      <c r="E46" s="22">
        <f>IF($D46="","",$D46*INDEX(Допущения!$C$25:$G$30,MATCH($C46,Допущения!$B$25:$B$30,0),1))</f>
        <v/>
      </c>
      <c r="F46" s="22">
        <f>IF($D46="","",$D46*INDEX(Допущения!$C$25:$G$30,MATCH($C46,Допущения!$B$25:$B$30,0),2))</f>
        <v/>
      </c>
      <c r="G46" s="22">
        <f>IF($D46="","",$D46*INDEX(Допущения!$C$25:$G$30,MATCH($C46,Допущения!$B$25:$B$30,0),3))</f>
        <v/>
      </c>
      <c r="H46" s="22">
        <f>IF($D46="","",$D46*INDEX(Допущения!$C$25:$G$30,MATCH($C46,Допущения!$B$25:$B$30,0),4))</f>
        <v/>
      </c>
      <c r="I46" s="22">
        <f>IF($D46="","",$D46*INDEX(Допущения!$C$25:$G$30,MATCH($C46,Допущения!$B$25:$B$30,0),5))</f>
        <v/>
      </c>
      <c r="J46" s="22">
        <f>SUM(E46:I46)</f>
        <v/>
      </c>
      <c r="K46" s="23" t="n"/>
      <c r="L46" s="24" t="inlineStr">
        <is>
          <t>Найм заморожен до декабря (А6)</t>
        </is>
      </c>
    </row>
    <row r="47" ht="15.75" customHeight="1" s="33">
      <c r="B47" s="10" t="n"/>
      <c r="C47" s="16" t="inlineStr">
        <is>
          <t>фикс</t>
        </is>
      </c>
      <c r="D47" s="17" t="n"/>
      <c r="E47" s="22">
        <f>IF($D47="","",$D47*INDEX(Допущения!$C$25:$G$30,MATCH($C47,Допущения!$B$25:$B$30,0),1))</f>
        <v/>
      </c>
      <c r="F47" s="22">
        <f>IF($D47="","",$D47*INDEX(Допущения!$C$25:$G$30,MATCH($C47,Допущения!$B$25:$B$30,0),2))</f>
        <v/>
      </c>
      <c r="G47" s="22">
        <f>IF($D47="","",$D47*INDEX(Допущения!$C$25:$G$30,MATCH($C47,Допущения!$B$25:$B$30,0),3))</f>
        <v/>
      </c>
      <c r="H47" s="22">
        <f>IF($D47="","",$D47*INDEX(Допущения!$C$25:$G$30,MATCH($C47,Допущения!$B$25:$B$30,0),4))</f>
        <v/>
      </c>
      <c r="I47" s="22">
        <f>IF($D47="","",$D47*INDEX(Допущения!$C$25:$G$30,MATCH($C47,Допущения!$B$25:$B$30,0),5))</f>
        <v/>
      </c>
      <c r="J47" s="22">
        <f>SUM(E47:I47)</f>
        <v/>
      </c>
      <c r="K47" s="23" t="n"/>
      <c r="L47" s="24" t="inlineStr">
        <is>
          <t>Своя статья</t>
        </is>
      </c>
    </row>
    <row r="48" ht="15.75" customHeight="1" s="33">
      <c r="B48" s="25" t="inlineStr">
        <is>
          <t>Итого по блоку</t>
        </is>
      </c>
      <c r="C48" s="26" t="n"/>
      <c r="D48" s="26" t="n"/>
      <c r="E48" s="27">
        <f>SUM(E43:E47)</f>
        <v/>
      </c>
      <c r="F48" s="27">
        <f>SUM(F43:F47)</f>
        <v/>
      </c>
      <c r="G48" s="27">
        <f>SUM(G43:G47)</f>
        <v/>
      </c>
      <c r="H48" s="27">
        <f>SUM(H43:H47)</f>
        <v/>
      </c>
      <c r="I48" s="27">
        <f>SUM(I43:I47)</f>
        <v/>
      </c>
      <c r="J48" s="27">
        <f>SUM(J43:J47)</f>
        <v/>
      </c>
      <c r="K48" s="28">
        <f>IFERROR(J48/$J$51,0)</f>
        <v/>
      </c>
      <c r="L48" s="26" t="n"/>
    </row>
    <row r="49" ht="15.75" customHeight="1" s="33">
      <c r="C49" s="29" t="n"/>
    </row>
    <row r="50" ht="15.75" customHeight="1" s="33">
      <c r="B50" s="14" t="inlineStr">
        <is>
          <t>Резерв на непредвиденное (contingency)</t>
        </is>
      </c>
      <c r="C50" s="29" t="n"/>
      <c r="E50" s="30">
        <f>(E15+E24+E32+E40+E48)*Допущения!$C$17</f>
        <v/>
      </c>
      <c r="F50" s="30">
        <f>(F15+F24+F32+F40+F48)*Допущения!$C$17</f>
        <v/>
      </c>
      <c r="G50" s="30">
        <f>(G15+G24+G32+G40+G48)*Допущения!$C$17</f>
        <v/>
      </c>
      <c r="H50" s="30">
        <f>(H15+H24+H32+H40+H48)*Допущения!$C$17</f>
        <v/>
      </c>
      <c r="I50" s="30">
        <f>(I15+I24+I32+I40+I48)*Допущения!$C$17</f>
        <v/>
      </c>
      <c r="J50" s="22">
        <f>SUM(E50:I50)</f>
        <v/>
      </c>
      <c r="L50" s="6" t="inlineStr">
        <is>
          <t>Расчёт: сумма блоков 1–5 × ставка резерва с листа «Допущения»</t>
        </is>
      </c>
    </row>
    <row r="51" ht="15.75" customHeight="1" s="33">
      <c r="B51" s="25" t="inlineStr">
        <is>
          <t>ИТОГО прямые затраты (TCO без учёта простоев)</t>
        </is>
      </c>
      <c r="C51" s="29" t="n"/>
      <c r="E51" s="27">
        <f>E15+E24+E32+E40+E48+E50</f>
        <v/>
      </c>
      <c r="F51" s="27">
        <f>F15+F24+F32+F40+F48+F50</f>
        <v/>
      </c>
      <c r="G51" s="27">
        <f>G15+G24+G32+G40+G48+G50</f>
        <v/>
      </c>
      <c r="H51" s="27">
        <f>H15+H24+H32+H40+H48+H50</f>
        <v/>
      </c>
      <c r="I51" s="27">
        <f>I15+I24+I32+I40+I48+I50</f>
        <v/>
      </c>
      <c r="J51" s="27">
        <f>SUM(E51:I51)</f>
        <v/>
      </c>
    </row>
    <row r="52" ht="15.75" customHeight="1" s="33">
      <c r="B52" s="7" t="inlineStr">
        <is>
          <t>БЛОК 6. Стоимость недоступности (риск)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5.75" customHeight="1" s="33">
      <c r="B53" s="10" t="inlineStr">
        <is>
          <t>Ожидаемые потери из-за простоя при целевом SLO</t>
        </is>
      </c>
      <c r="E53" s="30">
        <f>(1-E$80)*Допущения!C$10*Допущения!$C$22*Допущения!$C$21</f>
        <v/>
      </c>
      <c r="F53" s="30">
        <f>(1-F$80)*Допущения!D$10*Допущения!$C$22*Допущения!$C$21</f>
        <v/>
      </c>
      <c r="G53" s="30">
        <f>(1-G$80)*Допущения!E$10*Допущения!$C$22*Допущения!$C$21</f>
        <v/>
      </c>
      <c r="H53" s="30">
        <f>(1-H$80)*Допущения!F$10*Допущения!$C$22*Допущения!$C$21</f>
        <v/>
      </c>
      <c r="I53" s="30">
        <f>(1-I$80)*Допущения!G$10*Допущения!$C$22*Допущения!$C$21</f>
        <v/>
      </c>
      <c r="J53" s="22">
        <f>SUM(E53:I53)</f>
        <v/>
      </c>
      <c r="L53" s="34" t="inlineStr">
        <is>
          <t>Расчёт: (1 - SLO года) × GMV года × пиковый коэффициент × переключатель. Замена $12k/мин: см. Допущения C22</t>
        </is>
      </c>
    </row>
    <row r="54" ht="15.75" customHeight="1" s="33">
      <c r="B54" s="25" t="inlineStr">
        <is>
          <t>ИТОГО TCO с учётом стоимости простоя</t>
        </is>
      </c>
      <c r="E54" s="27">
        <f>E51+E53</f>
        <v/>
      </c>
      <c r="F54" s="27">
        <f>F51+F53</f>
        <v/>
      </c>
      <c r="G54" s="27">
        <f>G51+G53</f>
        <v/>
      </c>
      <c r="H54" s="27">
        <f>H51+H53</f>
        <v/>
      </c>
      <c r="I54" s="27">
        <f>I51+I53</f>
        <v/>
      </c>
      <c r="J54" s="27">
        <f>SUM(E54:I54)</f>
        <v/>
      </c>
    </row>
    <row r="55" ht="15.75" customHeight="1" s="33">
      <c r="B55" s="10" t="inlineStr">
        <is>
          <t>Коэффициент дисконтирования</t>
        </is>
      </c>
      <c r="E55" s="31">
        <f>1/(1+Допущения!$C$16)^0</f>
        <v/>
      </c>
      <c r="F55" s="31">
        <f>1/(1+Допущения!$C$16)^1</f>
        <v/>
      </c>
      <c r="G55" s="31">
        <f>1/(1+Допущения!$C$16)^2</f>
        <v/>
      </c>
      <c r="H55" s="31">
        <f>1/(1+Допущения!$C$16)^3</f>
        <v/>
      </c>
      <c r="I55" s="31">
        <f>1/(1+Допущения!$C$16)^4</f>
        <v/>
      </c>
    </row>
    <row r="56" ht="15.75" customHeight="1" s="33">
      <c r="B56" s="25" t="inlineStr">
        <is>
          <t>Дисконтированный TCO (NPV затрат)</t>
        </is>
      </c>
      <c r="E56" s="27">
        <f>E54*E55</f>
        <v/>
      </c>
      <c r="F56" s="27">
        <f>F54*F55</f>
        <v/>
      </c>
      <c r="G56" s="27">
        <f>G54*G55</f>
        <v/>
      </c>
      <c r="H56" s="27">
        <f>H54*H55</f>
        <v/>
      </c>
      <c r="I56" s="27">
        <f>I54*I55</f>
        <v/>
      </c>
      <c r="J56" s="27">
        <f>SUM(E56:I56)</f>
        <v/>
      </c>
    </row>
    <row r="57" ht="15.75" customHeight="1" s="33"/>
    <row r="58" ht="15.75" customHeight="1" s="33">
      <c r="B58" s="7" t="inlineStr">
        <is>
          <t>Ключевые метрики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5.75" customHeight="1" s="33">
      <c r="B59" s="14" t="inlineStr">
        <is>
          <t>TCO за 5 лет, прямые затраты</t>
        </is>
      </c>
      <c r="E59" s="60">
        <f>J51</f>
        <v/>
      </c>
      <c r="F59" s="61" t="n"/>
      <c r="L59" s="34" t="inlineStr">
        <is>
          <t>Основная цифра для сравнения вариантов в ADR</t>
        </is>
      </c>
    </row>
    <row r="60" ht="15.75" customHeight="1" s="33">
      <c r="B60" s="14" t="inlineStr">
        <is>
          <t>TCO за 5 лет с учётом простоя</t>
        </is>
      </c>
      <c r="E60" s="60">
        <f>J54</f>
        <v/>
      </c>
      <c r="F60" s="61" t="n"/>
      <c r="L60" s="34" t="inlineStr">
        <is>
          <t>Показывает цену недоступности для mission critical</t>
        </is>
      </c>
    </row>
    <row r="61" ht="15.75" customHeight="1" s="33">
      <c r="B61" s="14" t="inlineStr">
        <is>
          <t>NPV затрат за 5 лет</t>
        </is>
      </c>
      <c r="E61" s="60">
        <f>J56</f>
        <v/>
      </c>
      <c r="F61" s="61" t="n"/>
      <c r="L61" s="34" t="inlineStr">
        <is>
          <t>Затраты, приведённые к сегодняшнему дню</t>
        </is>
      </c>
    </row>
    <row r="62" ht="15.75" customHeight="1" s="33">
      <c r="B62" s="14" t="inlineStr">
        <is>
          <t>Средние затраты в год</t>
        </is>
      </c>
      <c r="E62" s="60">
        <f>J51/5</f>
        <v/>
      </c>
      <c r="F62" s="61" t="n"/>
      <c r="L62" s="34" t="inlineStr">
        <is>
          <t>Ориентир для планирования бюджета</t>
        </is>
      </c>
    </row>
    <row r="63" ht="15.75" customHeight="1" s="33">
      <c r="B63" s="14" t="inlineStr">
        <is>
          <t>Облако, $/мес в Год 1</t>
        </is>
      </c>
      <c r="E63" s="60">
        <f>E15/12</f>
        <v/>
      </c>
      <c r="F63" s="61" t="n"/>
      <c r="L63" s="34" t="inlineStr">
        <is>
          <t>Сравнивается с лимитом CFO</t>
        </is>
      </c>
    </row>
    <row r="64" ht="15.75" customHeight="1" s="33">
      <c r="B64" s="14" t="inlineStr">
        <is>
          <t>Проверка бюджета CFO на Год 1</t>
        </is>
      </c>
      <c r="E64" s="62">
        <f>IF(E15/12&lt;=Допущения!$C$18,"В бюджете CFO","ПРЕВЫШЕНИЕ бюджета")</f>
        <v/>
      </c>
      <c r="F64" s="61" t="n"/>
      <c r="L64" s="34" t="inlineStr">
        <is>
          <t>Если превышение — объясни в ADR, чем жертвуешь</t>
        </is>
      </c>
    </row>
    <row r="65" ht="15.75" customHeight="1" s="33">
      <c r="B65" s="14" t="inlineStr">
        <is>
          <t>TCO на 1 заказ за 5 лет</t>
        </is>
      </c>
      <c r="E65" s="63">
        <f>IFERROR(J51/SUM(Допущения!$C$8:$G$8),0)</f>
        <v/>
      </c>
      <c r="F65" s="61" t="n"/>
      <c r="L65" s="34" t="inlineStr">
        <is>
          <t>Юнит-экономика: сколько ИТ стоит в одном заказе</t>
        </is>
      </c>
    </row>
    <row r="66" ht="15.75" customHeight="1" s="33">
      <c r="B66" s="14" t="inlineStr">
        <is>
          <t>TCO на 1 активного пользователя (Год 5)</t>
        </is>
      </c>
      <c r="E66" s="63">
        <f>IFERROR(I51/Допущения!$G$7,0)</f>
        <v/>
      </c>
      <c r="F66" s="61" t="n"/>
      <c r="L66" s="34" t="inlineStr">
        <is>
          <t>Проверка масштабируемости модели</t>
        </is>
      </c>
    </row>
    <row r="67" ht="15.75" customHeight="1" s="33">
      <c r="B67" s="14" t="inlineStr">
        <is>
          <t>Затраты ИТ как доля GMV за 5 лет</t>
        </is>
      </c>
      <c r="E67" s="64">
        <f>IFERROR(J51/SUM(Допущения!$C$10:$G$10),0)</f>
        <v/>
      </c>
      <c r="F67" s="61" t="n"/>
      <c r="L67" s="34" t="inlineStr">
        <is>
          <t>Здоровый маркетплейс — единицы процентов</t>
        </is>
      </c>
    </row>
    <row r="68" ht="15.75" customHeight="1" s="33">
      <c r="B68" s="14" t="inlineStr">
        <is>
          <t>Доля облачной инфраструктуры в TCO</t>
        </is>
      </c>
      <c r="E68" s="65">
        <f>IFERROR(J15/J51,0)</f>
        <v/>
      </c>
      <c r="F68" s="61" t="n"/>
      <c r="L68" s="34" t="inlineStr">
        <is>
          <t>Обычно меньше, чем ожидают студенты</t>
        </is>
      </c>
    </row>
    <row r="69" ht="15.75" customHeight="1" s="33">
      <c r="B69" s="14" t="inlineStr">
        <is>
          <t>Доля транзакционных расходов в TCO</t>
        </is>
      </c>
      <c r="E69" s="65">
        <f>IFERROR(J32/J51,0)</f>
        <v/>
      </c>
      <c r="F69" s="61" t="n"/>
      <c r="L69" s="34" t="inlineStr">
        <is>
          <t>Растёт быстрее всего вместе с GMV</t>
        </is>
      </c>
    </row>
    <row r="70" ht="15.75" customHeight="1" s="33">
      <c r="B70" s="14" t="inlineStr">
        <is>
          <t>Доля команды (ФОТ) в TCO</t>
        </is>
      </c>
      <c r="E70" s="65">
        <f>IFERROR(J40/J51,0)</f>
        <v/>
      </c>
      <c r="F70" s="61" t="n"/>
      <c r="L70" s="34" t="inlineStr">
        <is>
          <t>Как правило, крупнейшая статья</t>
        </is>
      </c>
    </row>
    <row r="71" ht="15.75" customHeight="1" s="33"/>
    <row r="72" ht="15.75" customHeight="1" s="33">
      <c r="B72" s="66" t="inlineStr">
        <is>
          <t>Вывод для ADR (заполнить текстом): какой вариант дешевле, за счёт чего, и какие допущения сильнее всего влияют на результат?</t>
        </is>
      </c>
    </row>
    <row r="73" ht="15" customHeight="1" s="33">
      <c r="B73" s="67" t="inlineStr">
        <is>
          <t>V1 дешевле всех на горизонте 5 лет за счёт ФОТ: 6 человек вместо 9 и 16. Облако + SaaS в Год 1 укладывается в $5k/мес. Цена - более низкий SLO в Год 1-2. Переход на мультирегион и усиление SRE заложены с Год 3 по триггеру нагрузки.</t>
        </is>
      </c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9" t="n"/>
    </row>
    <row r="74" ht="15.75" customHeight="1" s="33">
      <c r="B74" s="70" t="n"/>
      <c r="L74" s="71" t="n"/>
    </row>
    <row r="75" ht="15.75" customHeight="1" s="33">
      <c r="B75" s="72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4" t="n"/>
    </row>
    <row r="76" ht="15.75" customHeight="1" s="33"/>
    <row r="77" ht="15.75" customHeight="1" s="33">
      <c r="B77" t="inlineStr">
        <is>
          <t>Облако + SaaS, $/мес в Год 1</t>
        </is>
      </c>
      <c r="E77" s="60">
        <f>(E15+E24)/12</f>
        <v/>
      </c>
      <c r="L77" t="inlineStr">
        <is>
          <t>Лимит CFO $5k/мес включает SaaS и мониторинг (А6)</t>
        </is>
      </c>
    </row>
    <row r="78" ht="15.75" customHeight="1" s="33">
      <c r="B78" t="inlineStr">
        <is>
          <t>Проверка лимита CFO с учётом SaaS</t>
        </is>
      </c>
      <c r="E78" s="60">
        <f>IF((E15+E24)/12&lt;=Допущения!$C$18,"В бюджете CFO","ПРЕВЫШЕНИЕ бюджета")</f>
        <v/>
      </c>
    </row>
    <row r="79" ht="15.75" customHeight="1" s="33"/>
    <row r="80" ht="15.75" customHeight="1" s="33">
      <c r="B80" t="inlineStr">
        <is>
          <t>Целевой SLO по годам (вход для блока 6)</t>
        </is>
      </c>
      <c r="E80" s="75" t="n">
        <v>0.999</v>
      </c>
      <c r="F80" s="75" t="n">
        <v>0.9995000000000001</v>
      </c>
      <c r="G80" s="75" t="n">
        <v>0.9999</v>
      </c>
      <c r="H80" s="75" t="n">
        <v>0.9999</v>
      </c>
      <c r="I80" s="75" t="n">
        <v>0.9999</v>
      </c>
      <c r="L80" t="inlineStr">
        <is>
          <t>Заполняется по варианту. Блок 6 считает потери от GMV, а не от $12k/мин</t>
        </is>
      </c>
    </row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6:F66"/>
    <mergeCell ref="E61:F61"/>
    <mergeCell ref="E69:F69"/>
    <mergeCell ref="E60:F60"/>
    <mergeCell ref="E70:F70"/>
    <mergeCell ref="E64:F64"/>
    <mergeCell ref="E65:F65"/>
  </mergeCells>
  <dataValidations count="2">
    <dataValidation sqref="C6:C51" showDropDown="0" showInputMessage="0" showErrorMessage="0" allowBlank="1" type="list">
      <formula1>"фикс,инфляция,ФОТ,пользователи,заказы,GMV"</formula1>
    </dataValidation>
    <dataValidation sqref="C6:C51" showDropDown="0" showInputMessage="0" showErrorMessage="0" allowBlank="1" type="list">
      <formula1>"фикс,инфляция,ФОТ,пользователи,заказы,GMV"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ColWidth="14.42578125" defaultRowHeight="15" customHeight="1"/>
  <cols>
    <col width="3" customWidth="1" style="33" min="1" max="1"/>
    <col width="44" customWidth="1" style="33" min="2" max="2"/>
    <col width="16" customWidth="1" style="33" min="3" max="3"/>
    <col width="15" customWidth="1" style="33" min="4" max="4"/>
    <col width="14" customWidth="1" style="33" min="5" max="10"/>
    <col width="10" customWidth="1" style="33" min="11" max="11"/>
    <col width="46" customWidth="1" style="33" min="12" max="12"/>
    <col width="8.7109375" customWidth="1" style="33" min="13" max="26"/>
  </cols>
  <sheetData>
    <row r="1"/>
    <row r="2">
      <c r="B2" s="1" t="inlineStr">
        <is>
          <t>TCO на 5 лет - V2 Сервисная архитектура, 6-8 сервисов на managed Kubernetes</t>
        </is>
      </c>
    </row>
    <row r="3">
      <c r="B3" s="6" t="inlineStr">
        <is>
          <t>Заполняем колонки «Драйвер роста» и «База, $/год (Год 1)». Годы 1–5 считаются автоматически.</t>
        </is>
      </c>
    </row>
    <row r="4"/>
    <row r="5" ht="31.5" customHeight="1" s="33">
      <c r="B5" s="9" t="inlineStr">
        <is>
          <t>Статья затрат</t>
        </is>
      </c>
      <c r="C5" s="9" t="inlineStr">
        <is>
          <t>Драйвер роста</t>
        </is>
      </c>
      <c r="D5" s="9" t="inlineStr">
        <is>
          <t>База, $/год (Год 1)</t>
        </is>
      </c>
      <c r="E5" s="9" t="inlineStr">
        <is>
          <t>Год 1</t>
        </is>
      </c>
      <c r="F5" s="9" t="inlineStr">
        <is>
          <t>Год 2</t>
        </is>
      </c>
      <c r="G5" s="9" t="inlineStr">
        <is>
          <t>Год 3</t>
        </is>
      </c>
      <c r="H5" s="9" t="inlineStr">
        <is>
          <t>Год 4</t>
        </is>
      </c>
      <c r="I5" s="9" t="inlineStr">
        <is>
          <t>Год 5</t>
        </is>
      </c>
      <c r="J5" s="9" t="inlineStr">
        <is>
          <t>Итого 5 лет</t>
        </is>
      </c>
      <c r="K5" s="9" t="inlineStr">
        <is>
          <t>Доля</t>
        </is>
      </c>
      <c r="L5" s="9" t="inlineStr">
        <is>
          <t>Комментарий / источник</t>
        </is>
      </c>
    </row>
    <row r="6">
      <c r="B6" s="7" t="inlineStr">
        <is>
          <t>БЛОК 1. Облачная инфраструктура (OpEx)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B7" s="10" t="inlineStr">
        <is>
          <t>Compute: ноды / контейнеры / serverless</t>
        </is>
      </c>
      <c r="C7" s="16" t="inlineStr">
        <is>
          <t>пользователи</t>
        </is>
      </c>
      <c r="D7" s="17" t="n">
        <v>21600</v>
      </c>
      <c r="E7" s="22">
        <f>IF($D7="","",$D7*INDEX(Допущения!$C$25:$G$30,MATCH($C7,Допущения!$B$25:$B$30,0),1))</f>
        <v/>
      </c>
      <c r="F7" s="22">
        <f>IF($D7="","",$D7*INDEX(Допущения!$C$25:$G$30,MATCH($C7,Допущения!$B$25:$B$30,0),2))</f>
        <v/>
      </c>
      <c r="G7" s="22">
        <f>IF($D7="","",$D7*INDEX(Допущения!$C$25:$G$30,MATCH($C7,Допущения!$B$25:$B$30,0),3))</f>
        <v/>
      </c>
      <c r="H7" s="22">
        <f>IF($D7="","",$D7*INDEX(Допущения!$C$25:$G$30,MATCH($C7,Допущения!$B$25:$B$30,0),4))</f>
        <v/>
      </c>
      <c r="I7" s="22">
        <f>IF($D7="","",$D7*INDEX(Допущения!$C$25:$G$30,MATCH($C7,Допущения!$B$25:$B$30,0),5))</f>
        <v/>
      </c>
      <c r="J7" s="22">
        <f>SUM(E7:I7)</f>
        <v/>
      </c>
      <c r="K7" s="23" t="n"/>
      <c r="L7" s="24" t="inlineStr">
        <is>
          <t>Managed Kubernetes, 1 кластер, 6-8 нод</t>
        </is>
      </c>
    </row>
    <row r="8">
      <c r="B8" s="10" t="inlineStr">
        <is>
          <t>Управляемые БД (PostgreSQL, реплики)</t>
        </is>
      </c>
      <c r="C8" s="16" t="inlineStr">
        <is>
          <t>пользователи</t>
        </is>
      </c>
      <c r="D8" s="17" t="n">
        <v>14400</v>
      </c>
      <c r="E8" s="22">
        <f>IF($D8="","",$D8*INDEX(Допущения!$C$25:$G$30,MATCH($C8,Допущения!$B$25:$B$30,0),1))</f>
        <v/>
      </c>
      <c r="F8" s="22">
        <f>IF($D8="","",$D8*INDEX(Допущения!$C$25:$G$30,MATCH($C8,Допущения!$B$25:$B$30,0),2))</f>
        <v/>
      </c>
      <c r="G8" s="22">
        <f>IF($D8="","",$D8*INDEX(Допущения!$C$25:$G$30,MATCH($C8,Допущения!$B$25:$B$30,0),3))</f>
        <v/>
      </c>
      <c r="H8" s="22">
        <f>IF($D8="","",$D8*INDEX(Допущения!$C$25:$G$30,MATCH($C8,Допущения!$B$25:$B$30,0),4))</f>
        <v/>
      </c>
      <c r="I8" s="22">
        <f>IF($D8="","",$D8*INDEX(Допущения!$C$25:$G$30,MATCH($C8,Допущения!$B$25:$B$30,0),5))</f>
        <v/>
      </c>
      <c r="J8" s="22">
        <f>SUM(E8:I8)</f>
        <v/>
      </c>
      <c r="K8" s="23" t="n"/>
      <c r="L8" s="24" t="inlineStr">
        <is>
          <t>3 managed PostgreSQL HA, БД на группу сервисов</t>
        </is>
      </c>
    </row>
    <row r="9">
      <c r="B9" s="10" t="inlineStr">
        <is>
          <t>Хранилище объектов и резервные копии</t>
        </is>
      </c>
      <c r="C9" s="16" t="inlineStr">
        <is>
          <t>пользователи</t>
        </is>
      </c>
      <c r="D9" s="17" t="n">
        <v>1200</v>
      </c>
      <c r="E9" s="22">
        <f>IF($D9="","",$D9*INDEX(Допущения!$C$25:$G$30,MATCH($C9,Допущения!$B$25:$B$30,0),1))</f>
        <v/>
      </c>
      <c r="F9" s="22">
        <f>IF($D9="","",$D9*INDEX(Допущения!$C$25:$G$30,MATCH($C9,Допущения!$B$25:$B$30,0),2))</f>
        <v/>
      </c>
      <c r="G9" s="22">
        <f>IF($D9="","",$D9*INDEX(Допущения!$C$25:$G$30,MATCH($C9,Допущения!$B$25:$B$30,0),3))</f>
        <v/>
      </c>
      <c r="H9" s="22">
        <f>IF($D9="","",$D9*INDEX(Допущения!$C$25:$G$30,MATCH($C9,Допущения!$B$25:$B$30,0),4))</f>
        <v/>
      </c>
      <c r="I9" s="22">
        <f>IF($D9="","",$D9*INDEX(Допущения!$C$25:$G$30,MATCH($C9,Допущения!$B$25:$B$30,0),5))</f>
        <v/>
      </c>
      <c r="J9" s="22">
        <f>SUM(E9:I9)</f>
        <v/>
      </c>
      <c r="K9" s="23" t="n"/>
      <c r="L9" s="24" t="inlineStr">
        <is>
          <t>Объектное хранилище: фото, бэкапы</t>
        </is>
      </c>
    </row>
    <row r="10">
      <c r="B10" s="10" t="inlineStr">
        <is>
          <t>CDN и исходящий трафик</t>
        </is>
      </c>
      <c r="C10" s="16" t="inlineStr">
        <is>
          <t>пользователи</t>
        </is>
      </c>
      <c r="D10" s="17" t="n">
        <v>4800</v>
      </c>
      <c r="E10" s="22">
        <f>IF($D10="","",$D10*INDEX(Допущения!$C$25:$G$30,MATCH($C10,Допущения!$B$25:$B$30,0),1))</f>
        <v/>
      </c>
      <c r="F10" s="22">
        <f>IF($D10="","",$D10*INDEX(Допущения!$C$25:$G$30,MATCH($C10,Допущения!$B$25:$B$30,0),2))</f>
        <v/>
      </c>
      <c r="G10" s="22">
        <f>IF($D10="","",$D10*INDEX(Допущения!$C$25:$G$30,MATCH($C10,Допущения!$B$25:$B$30,0),3))</f>
        <v/>
      </c>
      <c r="H10" s="22">
        <f>IF($D10="","",$D10*INDEX(Допущения!$C$25:$G$30,MATCH($C10,Допущения!$B$25:$B$30,0),4))</f>
        <v/>
      </c>
      <c r="I10" s="22">
        <f>IF($D10="","",$D10*INDEX(Допущения!$C$25:$G$30,MATCH($C10,Допущения!$B$25:$B$30,0),5))</f>
        <v/>
      </c>
      <c r="J10" s="22">
        <f>SUM(E10:I10)</f>
        <v/>
      </c>
      <c r="K10" s="23" t="n"/>
      <c r="L10" s="24" t="inlineStr">
        <is>
          <t>CDN для фото и статики</t>
        </is>
      </c>
    </row>
    <row r="11">
      <c r="B11" s="10" t="inlineStr">
        <is>
          <t>Очереди / стриминг (Kafka, SQS)</t>
        </is>
      </c>
      <c r="C11" s="16" t="inlineStr">
        <is>
          <t>заказы</t>
        </is>
      </c>
      <c r="D11" s="17" t="n">
        <v>7200</v>
      </c>
      <c r="E11" s="22">
        <f>IF($D11="","",$D11*INDEX(Допущения!$C$25:$G$30,MATCH($C11,Допущения!$B$25:$B$30,0),1))</f>
        <v/>
      </c>
      <c r="F11" s="22">
        <f>IF($D11="","",$D11*INDEX(Допущения!$C$25:$G$30,MATCH($C11,Допущения!$B$25:$B$30,0),2))</f>
        <v/>
      </c>
      <c r="G11" s="22">
        <f>IF($D11="","",$D11*INDEX(Допущения!$C$25:$G$30,MATCH($C11,Допущения!$B$25:$B$30,0),3))</f>
        <v/>
      </c>
      <c r="H11" s="22">
        <f>IF($D11="","",$D11*INDEX(Допущения!$C$25:$G$30,MATCH($C11,Допущения!$B$25:$B$30,0),4))</f>
        <v/>
      </c>
      <c r="I11" s="22">
        <f>IF($D11="","",$D11*INDEX(Допущения!$C$25:$G$30,MATCH($C11,Допущения!$B$25:$B$30,0),5))</f>
        <v/>
      </c>
      <c r="J11" s="22">
        <f>SUM(E11:I11)</f>
        <v/>
      </c>
      <c r="K11" s="23" t="n"/>
      <c r="L11" s="24" t="inlineStr">
        <is>
          <t>Managed Kafka, минимальный тариф</t>
        </is>
      </c>
    </row>
    <row r="12">
      <c r="B12" s="10" t="inlineStr">
        <is>
          <t>Резервный регион / DR</t>
        </is>
      </c>
      <c r="C12" s="16" t="inlineStr">
        <is>
          <t>пользователи</t>
        </is>
      </c>
      <c r="D12" s="17" t="n">
        <v>9600</v>
      </c>
      <c r="E12" s="22">
        <f>IF($D12="","",$D12*INDEX(Допущения!$C$25:$G$30,MATCH($C12,Допущения!$B$25:$B$30,0),1))</f>
        <v/>
      </c>
      <c r="F12" s="22">
        <f>IF($D12="","",$D12*INDEX(Допущения!$C$25:$G$30,MATCH($C12,Допущения!$B$25:$B$30,0),2))</f>
        <v/>
      </c>
      <c r="G12" s="22">
        <f>IF($D12="","",$D12*INDEX(Допущения!$C$25:$G$30,MATCH($C12,Допущения!$B$25:$B$30,0),3))</f>
        <v/>
      </c>
      <c r="H12" s="22">
        <f>IF($D12="","",$D12*INDEX(Допущения!$C$25:$G$30,MATCH($C12,Допущения!$B$25:$B$30,0),4))</f>
        <v/>
      </c>
      <c r="I12" s="22">
        <f>IF($D12="","",$D12*INDEX(Допущения!$C$25:$G$30,MATCH($C12,Допущения!$B$25:$B$30,0),5))</f>
        <v/>
      </c>
      <c r="J12" s="22">
        <f>SUM(E12:I12)</f>
        <v/>
      </c>
      <c r="K12" s="23" t="n"/>
      <c r="L12" s="24" t="inlineStr">
        <is>
          <t>Warm standby кластера во втором регионе</t>
        </is>
      </c>
    </row>
    <row r="13">
      <c r="B13" s="10" t="inlineStr">
        <is>
          <t>Локальное размещение данных (NDPR, Нигерия)</t>
        </is>
      </c>
      <c r="C13" s="16" t="inlineStr">
        <is>
          <t>инфляция</t>
        </is>
      </c>
      <c r="D13" s="17" t="n">
        <v>12000</v>
      </c>
      <c r="E13" s="22">
        <f>IF($D13="","",$D13*INDEX(Допущения!$C$25:$G$30,MATCH($C13,Допущения!$B$25:$B$30,0),1))</f>
        <v/>
      </c>
      <c r="F13" s="22">
        <f>IF($D13="","",$D13*INDEX(Допущения!$C$25:$G$30,MATCH($C13,Допущения!$B$25:$B$30,0),2))</f>
        <v/>
      </c>
      <c r="G13" s="22">
        <f>IF($D13="","",$D13*INDEX(Допущения!$C$25:$G$30,MATCH($C13,Допущения!$B$25:$B$30,0),3))</f>
        <v/>
      </c>
      <c r="H13" s="22">
        <f>IF($D13="","",$D13*INDEX(Допущения!$C$25:$G$30,MATCH($C13,Допущения!$B$25:$B$30,0),4))</f>
        <v/>
      </c>
      <c r="I13" s="22">
        <f>IF($D13="","",$D13*INDEX(Допущения!$C$25:$G$30,MATCH($C13,Допущения!$B$25:$B$30,0),5))</f>
        <v/>
      </c>
      <c r="J13" s="22">
        <f>SUM(E13:I13)</f>
        <v/>
      </c>
      <c r="K13" s="23" t="n"/>
      <c r="L13" s="24" t="inlineStr">
        <is>
          <t>Нода кластера и хранилище ПДн в Нигерии</t>
        </is>
      </c>
    </row>
    <row r="14">
      <c r="B14" s="10" t="inlineStr">
        <is>
          <t>Мультирегион с Год 3</t>
        </is>
      </c>
      <c r="C14" s="16" t="inlineStr">
        <is>
          <t>фикс</t>
        </is>
      </c>
      <c r="D14" s="17" t="n"/>
      <c r="E14" s="17" t="n">
        <v>0</v>
      </c>
      <c r="F14" s="17" t="n">
        <v>0</v>
      </c>
      <c r="G14" s="17" t="n">
        <v>150000</v>
      </c>
      <c r="H14" s="17" t="n">
        <v>200000</v>
      </c>
      <c r="I14" s="17" t="n">
        <v>250000</v>
      </c>
      <c r="J14" s="22">
        <f>SUM(E14:I14)</f>
        <v/>
      </c>
      <c r="K14" s="23" t="n"/>
      <c r="L14" s="24" t="inlineStr">
        <is>
          <t>Переход на мультирегион с Год 3. Числа введены вручную</t>
        </is>
      </c>
    </row>
    <row r="15">
      <c r="B15" s="25" t="inlineStr">
        <is>
          <t>Итого по блоку</t>
        </is>
      </c>
      <c r="C15" s="26" t="n"/>
      <c r="D15" s="26" t="n"/>
      <c r="E15" s="27">
        <f>SUM(E7:E14)</f>
        <v/>
      </c>
      <c r="F15" s="27">
        <f>SUM(F7:F14)</f>
        <v/>
      </c>
      <c r="G15" s="27">
        <f>SUM(G7:G14)</f>
        <v/>
      </c>
      <c r="H15" s="27">
        <f>SUM(H7:H14)</f>
        <v/>
      </c>
      <c r="I15" s="27">
        <f>SUM(I7:I14)</f>
        <v/>
      </c>
      <c r="J15" s="27">
        <f>SUM(J7:J14)</f>
        <v/>
      </c>
      <c r="K15" s="28">
        <f>IFERROR(J15/$J$51,0)</f>
        <v/>
      </c>
      <c r="L15" s="26" t="n"/>
    </row>
    <row r="16">
      <c r="C16" s="29" t="n"/>
    </row>
    <row r="17">
      <c r="B17" s="7" t="inlineStr">
        <is>
          <t>БЛОК 2. Лицензии, SaaS и инструменты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B18" s="10" t="inlineStr">
        <is>
          <t>Observability (метрики, логи, трейсинг)</t>
        </is>
      </c>
      <c r="C18" s="16" t="inlineStr">
        <is>
          <t>пользователи</t>
        </is>
      </c>
      <c r="D18" s="17" t="n">
        <v>6000</v>
      </c>
      <c r="E18" s="22">
        <f>IF($D18="","",$D18*INDEX(Допущения!$C$25:$G$30,MATCH($C18,Допущения!$B$25:$B$30,0),1))</f>
        <v/>
      </c>
      <c r="F18" s="22">
        <f>IF($D18="","",$D18*INDEX(Допущения!$C$25:$G$30,MATCH($C18,Допущения!$B$25:$B$30,0),2))</f>
        <v/>
      </c>
      <c r="G18" s="22">
        <f>IF($D18="","",$D18*INDEX(Допущения!$C$25:$G$30,MATCH($C18,Допущения!$B$25:$B$30,0),3))</f>
        <v/>
      </c>
      <c r="H18" s="22">
        <f>IF($D18="","",$D18*INDEX(Допущения!$C$25:$G$30,MATCH($C18,Допущения!$B$25:$B$30,0),4))</f>
        <v/>
      </c>
      <c r="I18" s="22">
        <f>IF($D18="","",$D18*INDEX(Допущения!$C$25:$G$30,MATCH($C18,Допущения!$B$25:$B$30,0),5))</f>
        <v/>
      </c>
      <c r="J18" s="22">
        <f>SUM(E18:I18)</f>
        <v/>
      </c>
      <c r="K18" s="23" t="n"/>
      <c r="L18" s="24" t="inlineStr">
        <is>
          <t>Managed observability: метрики, логи, трейсы по 6-8 сервисам</t>
        </is>
      </c>
    </row>
    <row r="19">
      <c r="B19" s="10" t="inlineStr">
        <is>
          <t>CI/CD, репозиторий, артефакты</t>
        </is>
      </c>
      <c r="C19" s="16" t="inlineStr">
        <is>
          <t>инфляция</t>
        </is>
      </c>
      <c r="D19" s="17" t="n">
        <v>2400</v>
      </c>
      <c r="E19" s="22">
        <f>IF($D19="","",$D19*INDEX(Допущения!$C$25:$G$30,MATCH($C19,Допущения!$B$25:$B$30,0),1))</f>
        <v/>
      </c>
      <c r="F19" s="22">
        <f>IF($D19="","",$D19*INDEX(Допущения!$C$25:$G$30,MATCH($C19,Допущения!$B$25:$B$30,0),2))</f>
        <v/>
      </c>
      <c r="G19" s="22">
        <f>IF($D19="","",$D19*INDEX(Допущения!$C$25:$G$30,MATCH($C19,Допущения!$B$25:$B$30,0),3))</f>
        <v/>
      </c>
      <c r="H19" s="22">
        <f>IF($D19="","",$D19*INDEX(Допущения!$C$25:$G$30,MATCH($C19,Допущения!$B$25:$B$30,0),4))</f>
        <v/>
      </c>
      <c r="I19" s="22">
        <f>IF($D19="","",$D19*INDEX(Допущения!$C$25:$G$30,MATCH($C19,Допущения!$B$25:$B$30,0),5))</f>
        <v/>
      </c>
      <c r="J19" s="22">
        <f>SUM(E19:I19)</f>
        <v/>
      </c>
      <c r="K19" s="23" t="n"/>
      <c r="L19" s="24" t="inlineStr">
        <is>
          <t>GitHub Team + Actions, реестр образов</t>
        </is>
      </c>
    </row>
    <row r="20">
      <c r="B20" s="10" t="inlineStr">
        <is>
          <t>Безопасность: WAF, секреты, антифрод</t>
        </is>
      </c>
      <c r="C20" s="16" t="inlineStr">
        <is>
          <t>пользователи</t>
        </is>
      </c>
      <c r="D20" s="17" t="n">
        <v>3600</v>
      </c>
      <c r="E20" s="22">
        <f>IF($D20="","",$D20*INDEX(Допущения!$C$25:$G$30,MATCH($C20,Допущения!$B$25:$B$30,0),1))</f>
        <v/>
      </c>
      <c r="F20" s="22">
        <f>IF($D20="","",$D20*INDEX(Допущения!$C$25:$G$30,MATCH($C20,Допущения!$B$25:$B$30,0),2))</f>
        <v/>
      </c>
      <c r="G20" s="22">
        <f>IF($D20="","",$D20*INDEX(Допущения!$C$25:$G$30,MATCH($C20,Допущения!$B$25:$B$30,0),3))</f>
        <v/>
      </c>
      <c r="H20" s="22">
        <f>IF($D20="","",$D20*INDEX(Допущения!$C$25:$G$30,MATCH($C20,Допущения!$B$25:$B$30,0),4))</f>
        <v/>
      </c>
      <c r="I20" s="22">
        <f>IF($D20="","",$D20*INDEX(Допущения!$C$25:$G$30,MATCH($C20,Допущения!$B$25:$B$30,0),5))</f>
        <v/>
      </c>
      <c r="J20" s="22">
        <f>SUM(E20:I20)</f>
        <v/>
      </c>
      <c r="K20" s="23" t="n"/>
      <c r="L20" s="24" t="inlineStr">
        <is>
          <t>WAF, секреты, политики кластера</t>
        </is>
      </c>
    </row>
    <row r="21" ht="15.75" customHeight="1" s="33">
      <c r="B21" s="10" t="inlineStr">
        <is>
          <t>WhatsApp Business API (подписка)</t>
        </is>
      </c>
      <c r="C21" s="16" t="inlineStr">
        <is>
          <t>инфляция</t>
        </is>
      </c>
      <c r="D21" s="17" t="n">
        <v>1200</v>
      </c>
      <c r="E21" s="22">
        <f>IF($D21="","",$D21*INDEX(Допущения!$C$25:$G$30,MATCH($C21,Допущения!$B$25:$B$30,0),1))</f>
        <v/>
      </c>
      <c r="F21" s="22">
        <f>IF($D21="","",$D21*INDEX(Допущения!$C$25:$G$30,MATCH($C21,Допущения!$B$25:$B$30,0),2))</f>
        <v/>
      </c>
      <c r="G21" s="22">
        <f>IF($D21="","",$D21*INDEX(Допущения!$C$25:$G$30,MATCH($C21,Допущения!$B$25:$B$30,0),3))</f>
        <v/>
      </c>
      <c r="H21" s="22">
        <f>IF($D21="","",$D21*INDEX(Допущения!$C$25:$G$30,MATCH($C21,Допущения!$B$25:$B$30,0),4))</f>
        <v/>
      </c>
      <c r="I21" s="22">
        <f>IF($D21="","",$D21*INDEX(Допущения!$C$25:$G$30,MATCH($C21,Допущения!$B$25:$B$30,0),5))</f>
        <v/>
      </c>
      <c r="J21" s="22">
        <f>SUM(E21:I21)</f>
        <v/>
      </c>
      <c r="K21" s="23" t="n"/>
      <c r="L21" s="24" t="inlineStr">
        <is>
          <t>BSP-подписка WhatsApp Business API</t>
        </is>
      </c>
    </row>
    <row r="22" ht="15.75" customHeight="1" s="33">
      <c r="B22" s="10" t="inlineStr">
        <is>
          <t>Прочее ПО и подписки</t>
        </is>
      </c>
      <c r="C22" s="16" t="inlineStr">
        <is>
          <t>инфляция</t>
        </is>
      </c>
      <c r="D22" s="17" t="n">
        <v>1800</v>
      </c>
      <c r="E22" s="22">
        <f>IF($D22="","",$D22*INDEX(Допущения!$C$25:$G$30,MATCH($C22,Допущения!$B$25:$B$30,0),1))</f>
        <v/>
      </c>
      <c r="F22" s="22">
        <f>IF($D22="","",$D22*INDEX(Допущения!$C$25:$G$30,MATCH($C22,Допущения!$B$25:$B$30,0),2))</f>
        <v/>
      </c>
      <c r="G22" s="22">
        <f>IF($D22="","",$D22*INDEX(Допущения!$C$25:$G$30,MATCH($C22,Допущения!$B$25:$B$30,0),3))</f>
        <v/>
      </c>
      <c r="H22" s="22">
        <f>IF($D22="","",$D22*INDEX(Допущения!$C$25:$G$30,MATCH($C22,Допущения!$B$25:$B$30,0),4))</f>
        <v/>
      </c>
      <c r="I22" s="22">
        <f>IF($D22="","",$D22*INDEX(Допущения!$C$25:$G$30,MATCH($C22,Допущения!$B$25:$B$30,0),5))</f>
        <v/>
      </c>
      <c r="J22" s="22">
        <f>SUM(E22:I22)</f>
        <v/>
      </c>
      <c r="K22" s="23" t="n"/>
      <c r="L22" s="24" t="inlineStr">
        <is>
          <t>Трекер, дизайн</t>
        </is>
      </c>
    </row>
    <row r="23" ht="15.75" customHeight="1" s="33">
      <c r="B23" s="10" t="n"/>
      <c r="C23" s="16" t="inlineStr">
        <is>
          <t>фикс</t>
        </is>
      </c>
      <c r="D23" s="17" t="n"/>
      <c r="E23" s="22">
        <f>IF($D23="","",$D23*INDEX(Допущения!$C$25:$G$30,MATCH($C23,Допущения!$B$25:$B$30,0),1))</f>
        <v/>
      </c>
      <c r="F23" s="22">
        <f>IF($D23="","",$D23*INDEX(Допущения!$C$25:$G$30,MATCH($C23,Допущения!$B$25:$B$30,0),2))</f>
        <v/>
      </c>
      <c r="G23" s="22">
        <f>IF($D23="","",$D23*INDEX(Допущения!$C$25:$G$30,MATCH($C23,Допущения!$B$25:$B$30,0),3))</f>
        <v/>
      </c>
      <c r="H23" s="22">
        <f>IF($D23="","",$D23*INDEX(Допущения!$C$25:$G$30,MATCH($C23,Допущения!$B$25:$B$30,0),4))</f>
        <v/>
      </c>
      <c r="I23" s="22">
        <f>IF($D23="","",$D23*INDEX(Допущения!$C$25:$G$30,MATCH($C23,Допущения!$B$25:$B$30,0),5))</f>
        <v/>
      </c>
      <c r="J23" s="22">
        <f>SUM(E23:I23)</f>
        <v/>
      </c>
      <c r="K23" s="23" t="n"/>
      <c r="L23" s="24" t="inlineStr">
        <is>
          <t>Своя статья</t>
        </is>
      </c>
    </row>
    <row r="24" ht="15.75" customHeight="1" s="33">
      <c r="B24" s="25" t="inlineStr">
        <is>
          <t>Итого по блоку</t>
        </is>
      </c>
      <c r="C24" s="26" t="n"/>
      <c r="D24" s="26" t="n"/>
      <c r="E24" s="27">
        <f>SUM(E18:E23)</f>
        <v/>
      </c>
      <c r="F24" s="27">
        <f>SUM(F18:F23)</f>
        <v/>
      </c>
      <c r="G24" s="27">
        <f>SUM(G18:G23)</f>
        <v/>
      </c>
      <c r="H24" s="27">
        <f>SUM(H18:H23)</f>
        <v/>
      </c>
      <c r="I24" s="27">
        <f>SUM(I18:I23)</f>
        <v/>
      </c>
      <c r="J24" s="27">
        <f>SUM(J18:J23)</f>
        <v/>
      </c>
      <c r="K24" s="28">
        <f>IFERROR(J24/$J$51,0)</f>
        <v/>
      </c>
      <c r="L24" s="26" t="n"/>
    </row>
    <row r="25" ht="15.75" customHeight="1" s="33">
      <c r="C25" s="29" t="n"/>
    </row>
    <row r="26" ht="15.75" customHeight="1" s="33">
      <c r="B26" s="7" t="inlineStr">
        <is>
          <t>БЛОК 3. Транзакционные расходы (Buy / Partner)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5.75" customHeight="1" s="33">
      <c r="B27" s="10" t="inlineStr">
        <is>
          <t>Комиссии платёжных провайдеров</t>
        </is>
      </c>
      <c r="C27" s="16" t="inlineStr">
        <is>
          <t>GMV</t>
        </is>
      </c>
      <c r="D27" s="17" t="n">
        <v>480000</v>
      </c>
      <c r="E27" s="22">
        <f>IF($D27="","",$D27*INDEX(Допущения!$C$25:$G$30,MATCH($C27,Допущения!$B$25:$B$30,0),1))</f>
        <v/>
      </c>
      <c r="F27" s="22">
        <f>IF($D27="","",$D27*INDEX(Допущения!$C$25:$G$30,MATCH($C27,Допущения!$B$25:$B$30,0),2))</f>
        <v/>
      </c>
      <c r="G27" s="22">
        <f>IF($D27="","",$D27*INDEX(Допущения!$C$25:$G$30,MATCH($C27,Допущения!$B$25:$B$30,0),3))</f>
        <v/>
      </c>
      <c r="H27" s="22">
        <f>IF($D27="","",$D27*INDEX(Допущения!$C$25:$G$30,MATCH($C27,Допущения!$B$25:$B$30,0),4))</f>
        <v/>
      </c>
      <c r="I27" s="22">
        <f>IF($D27="","",$D27*INDEX(Допущения!$C$25:$G$30,MATCH($C27,Допущения!$B$25:$B$30,0),5))</f>
        <v/>
      </c>
      <c r="J27" s="22">
        <f>SUM(E27:I27)</f>
        <v/>
      </c>
      <c r="K27" s="23" t="n"/>
      <c r="L27" s="24" t="inlineStr">
        <is>
          <t>2,0% GMV all-in: M-Pesa Daraja (KE), Flutterwave и Paystack (NG). Лимит CFO 2,5% (А6). Одинаково для всех вариантов</t>
        </is>
      </c>
    </row>
    <row r="28" ht="15.75" customHeight="1" s="33">
      <c r="B28" s="10" t="inlineStr">
        <is>
          <t>SMS-уведомления</t>
        </is>
      </c>
      <c r="C28" s="16" t="inlineStr">
        <is>
          <t>заказы</t>
        </is>
      </c>
      <c r="D28" s="17" t="n">
        <v>90000</v>
      </c>
      <c r="E28" s="22">
        <f>IF($D28="","",$D28*INDEX(Допущения!$C$25:$G$30,MATCH($C28,Допущения!$B$25:$B$30,0),1))</f>
        <v/>
      </c>
      <c r="F28" s="22">
        <f>IF($D28="","",$D28*INDEX(Допущения!$C$25:$G$30,MATCH($C28,Допущения!$B$25:$B$30,0),2))</f>
        <v/>
      </c>
      <c r="G28" s="22">
        <f>IF($D28="","",$D28*INDEX(Допущения!$C$25:$G$30,MATCH($C28,Допущения!$B$25:$B$30,0),3))</f>
        <v/>
      </c>
      <c r="H28" s="22">
        <f>IF($D28="","",$D28*INDEX(Допущения!$C$25:$G$30,MATCH($C28,Допущения!$B$25:$B$30,0),4))</f>
        <v/>
      </c>
      <c r="I28" s="22">
        <f>IF($D28="","",$D28*INDEX(Допущения!$C$25:$G$30,MATCH($C28,Допущения!$B$25:$B$30,0),5))</f>
        <v/>
      </c>
      <c r="J28" s="22">
        <f>SUM(E28:I28)</f>
        <v/>
      </c>
      <c r="K28" s="23" t="n"/>
      <c r="L28" s="24" t="inlineStr">
        <is>
          <t>3 SMS на заказ × $0,025</t>
        </is>
      </c>
    </row>
    <row r="29" ht="15.75" customHeight="1" s="33">
      <c r="B29" s="10" t="inlineStr">
        <is>
          <t>WhatsApp-сообщения (за диалог)</t>
        </is>
      </c>
      <c r="C29" s="16" t="inlineStr">
        <is>
          <t>заказы</t>
        </is>
      </c>
      <c r="D29" s="17" t="n">
        <v>18000</v>
      </c>
      <c r="E29" s="22">
        <f>IF($D29="","",$D29*INDEX(Допущения!$C$25:$G$30,MATCH($C29,Допущения!$B$25:$B$30,0),1))</f>
        <v/>
      </c>
      <c r="F29" s="22">
        <f>IF($D29="","",$D29*INDEX(Допущения!$C$25:$G$30,MATCH($C29,Допущения!$B$25:$B$30,0),2))</f>
        <v/>
      </c>
      <c r="G29" s="22">
        <f>IF($D29="","",$D29*INDEX(Допущения!$C$25:$G$30,MATCH($C29,Допущения!$B$25:$B$30,0),3))</f>
        <v/>
      </c>
      <c r="H29" s="22">
        <f>IF($D29="","",$D29*INDEX(Допущения!$C$25:$G$30,MATCH($C29,Допущения!$B$25:$B$30,0),4))</f>
        <v/>
      </c>
      <c r="I29" s="22">
        <f>IF($D29="","",$D29*INDEX(Допущения!$C$25:$G$30,MATCH($C29,Допущения!$B$25:$B$30,0),5))</f>
        <v/>
      </c>
      <c r="J29" s="22">
        <f>SUM(E29:I29)</f>
        <v/>
      </c>
      <c r="K29" s="23" t="n"/>
      <c r="L29" s="24" t="inlineStr">
        <is>
          <t>1 utility-диалог WhatsApp на заказ × $0,015</t>
        </is>
      </c>
    </row>
    <row r="30" ht="15.75" customHeight="1" s="33">
      <c r="B30" s="10" t="inlineStr">
        <is>
          <t>Логистика: интеграции и комиссии партнёров</t>
        </is>
      </c>
      <c r="C30" s="16" t="inlineStr">
        <is>
          <t>заказы</t>
        </is>
      </c>
      <c r="D30" s="17" t="n">
        <v>180000</v>
      </c>
      <c r="E30" s="22">
        <f>IF($D30="","",$D30*INDEX(Допущения!$C$25:$G$30,MATCH($C30,Допущения!$B$25:$B$30,0),1))</f>
        <v/>
      </c>
      <c r="F30" s="22">
        <f>IF($D30="","",$D30*INDEX(Допущения!$C$25:$G$30,MATCH($C30,Допущения!$B$25:$B$30,0),2))</f>
        <v/>
      </c>
      <c r="G30" s="22">
        <f>IF($D30="","",$D30*INDEX(Допущения!$C$25:$G$30,MATCH($C30,Допущения!$B$25:$B$30,0),3))</f>
        <v/>
      </c>
      <c r="H30" s="22">
        <f>IF($D30="","",$D30*INDEX(Допущения!$C$25:$G$30,MATCH($C30,Допущения!$B$25:$B$30,0),4))</f>
        <v/>
      </c>
      <c r="I30" s="22">
        <f>IF($D30="","",$D30*INDEX(Допущения!$C$25:$G$30,MATCH($C30,Допущения!$B$25:$B$30,0),5))</f>
        <v/>
      </c>
      <c r="J30" s="22">
        <f>SUM(E30:I30)</f>
        <v/>
      </c>
      <c r="K30" s="23" t="n"/>
      <c r="L30" s="24" t="inlineStr">
        <is>
          <t>Сбор API Sendbox и Sendy $0,15 на заказ. Тариф доставки платит покупатель</t>
        </is>
      </c>
    </row>
    <row r="31" ht="15.75" customHeight="1" s="33">
      <c r="B31" s="10" t="n"/>
      <c r="C31" s="16" t="inlineStr">
        <is>
          <t>фикс</t>
        </is>
      </c>
      <c r="D31" s="17" t="n"/>
      <c r="E31" s="22">
        <f>IF($D31="","",$D31*INDEX(Допущения!$C$25:$G$30,MATCH($C31,Допущения!$B$25:$B$30,0),1))</f>
        <v/>
      </c>
      <c r="F31" s="22">
        <f>IF($D31="","",$D31*INDEX(Допущения!$C$25:$G$30,MATCH($C31,Допущения!$B$25:$B$30,0),2))</f>
        <v/>
      </c>
      <c r="G31" s="22">
        <f>IF($D31="","",$D31*INDEX(Допущения!$C$25:$G$30,MATCH($C31,Допущения!$B$25:$B$30,0),3))</f>
        <v/>
      </c>
      <c r="H31" s="22">
        <f>IF($D31="","",$D31*INDEX(Допущения!$C$25:$G$30,MATCH($C31,Допущения!$B$25:$B$30,0),4))</f>
        <v/>
      </c>
      <c r="I31" s="22">
        <f>IF($D31="","",$D31*INDEX(Допущения!$C$25:$G$30,MATCH($C31,Допущения!$B$25:$B$30,0),5))</f>
        <v/>
      </c>
      <c r="J31" s="22">
        <f>SUM(E31:I31)</f>
        <v/>
      </c>
      <c r="K31" s="23" t="n"/>
      <c r="L31" s="24" t="inlineStr">
        <is>
          <t>Своя статья</t>
        </is>
      </c>
    </row>
    <row r="32" ht="15.75" customHeight="1" s="33">
      <c r="B32" s="25" t="inlineStr">
        <is>
          <t>Итого по блоку</t>
        </is>
      </c>
      <c r="C32" s="26" t="n"/>
      <c r="D32" s="26" t="n"/>
      <c r="E32" s="27">
        <f>SUM(E27:E31)</f>
        <v/>
      </c>
      <c r="F32" s="27">
        <f>SUM(F27:F31)</f>
        <v/>
      </c>
      <c r="G32" s="27">
        <f>SUM(G27:G31)</f>
        <v/>
      </c>
      <c r="H32" s="27">
        <f>SUM(H27:H31)</f>
        <v/>
      </c>
      <c r="I32" s="27">
        <f>SUM(I27:I31)</f>
        <v/>
      </c>
      <c r="J32" s="27">
        <f>SUM(J27:J31)</f>
        <v/>
      </c>
      <c r="K32" s="28">
        <f>IFERROR(J32/$J$51,0)</f>
        <v/>
      </c>
      <c r="L32" s="26" t="n"/>
    </row>
    <row r="33" ht="15.75" customHeight="1" s="33">
      <c r="C33" s="29" t="n"/>
    </row>
    <row r="34" ht="15.75" customHeight="1" s="33">
      <c r="B34" s="7" t="inlineStr">
        <is>
          <t>БЛОК 4. Команда (ФОТ)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5.75" customHeight="1" s="33">
      <c r="B35" s="10" t="inlineStr">
        <is>
          <t>Разработка (FTE × годовая ставка)</t>
        </is>
      </c>
      <c r="C35" s="16" t="inlineStr">
        <is>
          <t>ФОТ</t>
        </is>
      </c>
      <c r="D35" s="17" t="n">
        <v>420000</v>
      </c>
      <c r="E35" s="22">
        <f>IF($D35="","",$D35*INDEX(Допущения!$C$25:$G$30,MATCH($C35,Допущения!$B$25:$B$30,0),1))</f>
        <v/>
      </c>
      <c r="F35" s="22">
        <f>IF($D35="","",$D35*INDEX(Допущения!$C$25:$G$30,MATCH($C35,Допущения!$B$25:$B$30,0),2))</f>
        <v/>
      </c>
      <c r="G35" s="22">
        <f>IF($D35="","",$D35*INDEX(Допущения!$C$25:$G$30,MATCH($C35,Допущения!$B$25:$B$30,0),3))</f>
        <v/>
      </c>
      <c r="H35" s="22">
        <f>IF($D35="","",$D35*INDEX(Допущения!$C$25:$G$30,MATCH($C35,Допущения!$B$25:$B$30,0),4))</f>
        <v/>
      </c>
      <c r="I35" s="22">
        <f>IF($D35="","",$D35*INDEX(Допущения!$C$25:$G$30,MATCH($C35,Допущения!$B$25:$B$30,0),5))</f>
        <v/>
      </c>
      <c r="J35" s="22">
        <f>SUM(E35:I35)</f>
        <v/>
      </c>
      <c r="K35" s="23" t="n"/>
      <c r="L35" s="24" t="inlineStr">
        <is>
          <t>7 разработчиков × $60k</t>
        </is>
      </c>
    </row>
    <row r="36" ht="15.75" customHeight="1" s="33">
      <c r="B36" s="10" t="inlineStr">
        <is>
          <t>DevOps / SRE</t>
        </is>
      </c>
      <c r="C36" s="16" t="inlineStr">
        <is>
          <t>ФОТ</t>
        </is>
      </c>
      <c r="D36" s="17" t="n">
        <v>120000</v>
      </c>
      <c r="E36" s="22">
        <f>IF($D36="","",$D36*INDEX(Допущения!$C$25:$G$30,MATCH($C36,Допущения!$B$25:$B$30,0),1))</f>
        <v/>
      </c>
      <c r="F36" s="22">
        <f>IF($D36="","",$D36*INDEX(Допущения!$C$25:$G$30,MATCH($C36,Допущения!$B$25:$B$30,0),2))</f>
        <v/>
      </c>
      <c r="G36" s="22">
        <f>IF($D36="","",$D36*INDEX(Допущения!$C$25:$G$30,MATCH($C36,Допущения!$B$25:$B$30,0),3))</f>
        <v/>
      </c>
      <c r="H36" s="22">
        <f>IF($D36="","",$D36*INDEX(Допущения!$C$25:$G$30,MATCH($C36,Допущения!$B$25:$B$30,0),4))</f>
        <v/>
      </c>
      <c r="I36" s="22">
        <f>IF($D36="","",$D36*INDEX(Допущения!$C$25:$G$30,MATCH($C36,Допущения!$B$25:$B$30,0),5))</f>
        <v/>
      </c>
      <c r="J36" s="22">
        <f>SUM(E36:I36)</f>
        <v/>
      </c>
      <c r="K36" s="23" t="n"/>
      <c r="L36" s="24" t="inlineStr">
        <is>
          <t>2 SRE: кластер, Kafka, сеть</t>
        </is>
      </c>
    </row>
    <row r="37" ht="15.75" customHeight="1" s="33">
      <c r="B37" s="10" t="inlineStr">
        <is>
          <t>Поддержка и дежурства 24/7</t>
        </is>
      </c>
      <c r="C37" s="16" t="inlineStr">
        <is>
          <t>ФОТ</t>
        </is>
      </c>
      <c r="D37" s="17" t="n">
        <v>48000</v>
      </c>
      <c r="E37" s="22">
        <f>IF($D37="","",$D37*INDEX(Допущения!$C$25:$G$30,MATCH($C37,Допущения!$B$25:$B$30,0),1))</f>
        <v/>
      </c>
      <c r="F37" s="22">
        <f>IF($D37="","",$D37*INDEX(Допущения!$C$25:$G$30,MATCH($C37,Допущения!$B$25:$B$30,0),2))</f>
        <v/>
      </c>
      <c r="G37" s="22">
        <f>IF($D37="","",$D37*INDEX(Допущения!$C$25:$G$30,MATCH($C37,Допущения!$B$25:$B$30,0),3))</f>
        <v/>
      </c>
      <c r="H37" s="22">
        <f>IF($D37="","",$D37*INDEX(Допущения!$C$25:$G$30,MATCH($C37,Допущения!$B$25:$B$30,0),4))</f>
        <v/>
      </c>
      <c r="I37" s="22">
        <f>IF($D37="","",$D37*INDEX(Допущения!$C$25:$G$30,MATCH($C37,Допущения!$B$25:$B$30,0),5))</f>
        <v/>
      </c>
      <c r="J37" s="22">
        <f>SUM(E37:I37)</f>
        <v/>
      </c>
      <c r="K37" s="23" t="n"/>
      <c r="L37" s="24" t="inlineStr">
        <is>
          <t>Ротация дежурств 24/7</t>
        </is>
      </c>
    </row>
    <row r="38" ht="15.75" customHeight="1" s="33">
      <c r="B38" s="10" t="inlineStr">
        <is>
          <t>Архитектура и менеджмент</t>
        </is>
      </c>
      <c r="C38" s="16" t="inlineStr">
        <is>
          <t>ФОТ</t>
        </is>
      </c>
      <c r="D38" s="17" t="n">
        <v>150000</v>
      </c>
      <c r="E38" s="22">
        <f>IF($D38="","",$D38*INDEX(Допущения!$C$25:$G$30,MATCH($C38,Допущения!$B$25:$B$30,0),1))</f>
        <v/>
      </c>
      <c r="F38" s="22">
        <f>IF($D38="","",$D38*INDEX(Допущения!$C$25:$G$30,MATCH($C38,Допущения!$B$25:$B$30,0),2))</f>
        <v/>
      </c>
      <c r="G38" s="22">
        <f>IF($D38="","",$D38*INDEX(Допущения!$C$25:$G$30,MATCH($C38,Допущения!$B$25:$B$30,0),3))</f>
        <v/>
      </c>
      <c r="H38" s="22">
        <f>IF($D38="","",$D38*INDEX(Допущения!$C$25:$G$30,MATCH($C38,Допущения!$B$25:$B$30,0),4))</f>
        <v/>
      </c>
      <c r="I38" s="22">
        <f>IF($D38="","",$D38*INDEX(Допущения!$C$25:$G$30,MATCH($C38,Допущения!$B$25:$B$30,0),5))</f>
        <v/>
      </c>
      <c r="J38" s="22">
        <f>SUM(E38:I38)</f>
        <v/>
      </c>
      <c r="K38" s="23" t="n"/>
      <c r="L38" s="24" t="inlineStr">
        <is>
          <t>CTO и SA, доля на платформу</t>
        </is>
      </c>
    </row>
    <row r="39" ht="15.75" customHeight="1" s="33">
      <c r="B39" s="10" t="inlineStr">
        <is>
          <t>Усиление SRE с Год 3</t>
        </is>
      </c>
      <c r="C39" s="16" t="inlineStr">
        <is>
          <t>фикс</t>
        </is>
      </c>
      <c r="D39" s="17" t="n"/>
      <c r="E39" s="17" t="n">
        <v>0</v>
      </c>
      <c r="F39" s="17" t="n">
        <v>0</v>
      </c>
      <c r="G39" s="17" t="n">
        <v>60000</v>
      </c>
      <c r="H39" s="17" t="n">
        <v>66000</v>
      </c>
      <c r="I39" s="17" t="n">
        <v>72600</v>
      </c>
      <c r="J39" s="22">
        <f>SUM(E39:I39)</f>
        <v/>
      </c>
      <c r="K39" s="23" t="n"/>
      <c r="L39" s="24" t="inlineStr">
        <is>
          <t>+1 SRE при мультирегионе. Числа введены вручную</t>
        </is>
      </c>
    </row>
    <row r="40" ht="15.75" customHeight="1" s="33">
      <c r="B40" s="25" t="inlineStr">
        <is>
          <t>Итого по блоку</t>
        </is>
      </c>
      <c r="C40" s="26" t="n"/>
      <c r="D40" s="26" t="n"/>
      <c r="E40" s="27">
        <f>SUM(E35:E39)</f>
        <v/>
      </c>
      <c r="F40" s="27">
        <f>SUM(F35:F39)</f>
        <v/>
      </c>
      <c r="G40" s="27">
        <f>SUM(G35:G39)</f>
        <v/>
      </c>
      <c r="H40" s="27">
        <f>SUM(H35:H39)</f>
        <v/>
      </c>
      <c r="I40" s="27">
        <f>SUM(I35:I39)</f>
        <v/>
      </c>
      <c r="J40" s="27">
        <f>SUM(J35:J39)</f>
        <v/>
      </c>
      <c r="K40" s="28">
        <f>IFERROR(J40/$J$51,0)</f>
        <v/>
      </c>
      <c r="L40" s="26" t="n"/>
    </row>
    <row r="41" ht="15.75" customHeight="1" s="33">
      <c r="C41" s="29" t="n"/>
    </row>
    <row r="42" ht="15.75" customHeight="1" s="33">
      <c r="B42" s="7" t="inlineStr">
        <is>
          <t>БЛОК 5. Разовые затраты и комплаенс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5.75" customHeight="1" s="33">
      <c r="B43" s="10" t="inlineStr">
        <is>
          <t>Юридический и комплаенс-аудит (NDPR, POPIA, KICA)</t>
        </is>
      </c>
      <c r="C43" s="16" t="inlineStr">
        <is>
          <t>фикс</t>
        </is>
      </c>
      <c r="D43" s="17" t="n">
        <v>25000</v>
      </c>
      <c r="E43" s="22">
        <f>IF($D43="","",$D43*INDEX(Допущения!$C$25:$G$30,MATCH($C43,Допущения!$B$25:$B$30,0),1))</f>
        <v/>
      </c>
      <c r="F43" s="17" t="n">
        <v>10000</v>
      </c>
      <c r="G43" s="17" t="n">
        <v>10000</v>
      </c>
      <c r="H43" s="17" t="n">
        <v>10000</v>
      </c>
      <c r="I43" s="17" t="n">
        <v>10000</v>
      </c>
      <c r="J43" s="22">
        <f>SUM(E43:I43)</f>
        <v/>
      </c>
      <c r="K43" s="23" t="n"/>
      <c r="L43" s="24" t="inlineStr">
        <is>
          <t>Регистрация NDPC, DPO, аудит. Далее ежегодный аудит $10k (А3)</t>
        </is>
      </c>
    </row>
    <row r="44" ht="15.75" customHeight="1" s="33">
      <c r="B44" s="10" t="inlineStr">
        <is>
          <t>Пентест и аудит безопасности</t>
        </is>
      </c>
      <c r="C44" s="16" t="inlineStr">
        <is>
          <t>инфляция</t>
        </is>
      </c>
      <c r="D44" s="17" t="n">
        <v>12000</v>
      </c>
      <c r="E44" s="22">
        <f>IF($D44="","",$D44*INDEX(Допущения!$C$25:$G$30,MATCH($C44,Допущения!$B$25:$B$30,0),1))</f>
        <v/>
      </c>
      <c r="F44" s="22">
        <f>IF($D44="","",$D44*INDEX(Допущения!$C$25:$G$30,MATCH($C44,Допущения!$B$25:$B$30,0),2))</f>
        <v/>
      </c>
      <c r="G44" s="22">
        <f>IF($D44="","",$D44*INDEX(Допущения!$C$25:$G$30,MATCH($C44,Допущения!$B$25:$B$30,0),3))</f>
        <v/>
      </c>
      <c r="H44" s="22">
        <f>IF($D44="","",$D44*INDEX(Допущения!$C$25:$G$30,MATCH($C44,Допущения!$B$25:$B$30,0),4))</f>
        <v/>
      </c>
      <c r="I44" s="22">
        <f>IF($D44="","",$D44*INDEX(Допущения!$C$25:$G$30,MATCH($C44,Допущения!$B$25:$B$30,0),5))</f>
        <v/>
      </c>
      <c r="J44" s="22">
        <f>SUM(E44:I44)</f>
        <v/>
      </c>
      <c r="K44" s="23" t="n"/>
      <c r="L44" s="24" t="inlineStr">
        <is>
          <t>Ежегодный пентест, поверхность шире</t>
        </is>
      </c>
    </row>
    <row r="45" ht="15.75" customHeight="1" s="33">
      <c r="B45" s="10" t="inlineStr">
        <is>
          <t>Миграция данных и интеграции при запуске</t>
        </is>
      </c>
      <c r="C45" s="16" t="inlineStr">
        <is>
          <t>фикс</t>
        </is>
      </c>
      <c r="D45" s="17" t="n">
        <v>0</v>
      </c>
      <c r="E45" s="22">
        <f>IF($D45="","",$D45*INDEX(Допущения!$C$25:$G$30,MATCH($C45,Допущения!$B$25:$B$30,0),1))</f>
        <v/>
      </c>
      <c r="F45" s="22">
        <f>IF($D45="","",$D45*INDEX(Допущения!$C$25:$G$30,MATCH($C45,Допущения!$B$25:$B$30,0),2))</f>
        <v/>
      </c>
      <c r="G45" s="22">
        <f>IF($D45="","",$D45*INDEX(Допущения!$C$25:$G$30,MATCH($C45,Допущения!$B$25:$B$30,0),3))</f>
        <v/>
      </c>
      <c r="H45" s="22">
        <f>IF($D45="","",$D45*INDEX(Допущения!$C$25:$G$30,MATCH($C45,Допущения!$B$25:$B$30,0),4))</f>
        <v/>
      </c>
      <c r="I45" s="22">
        <f>IF($D45="","",$D45*INDEX(Допущения!$C$25:$G$30,MATCH($C45,Допущения!$B$25:$B$30,0),5))</f>
        <v/>
      </c>
      <c r="J45" s="22">
        <f>SUM(E45:I45)</f>
        <v/>
      </c>
      <c r="K45" s="23" t="n"/>
      <c r="L45" s="24" t="inlineStr">
        <is>
          <t>Greenfield, миграции нет</t>
        </is>
      </c>
    </row>
    <row r="46" ht="15.75" customHeight="1" s="33">
      <c r="B46" s="10" t="inlineStr">
        <is>
          <t>Обучение команды и найм</t>
        </is>
      </c>
      <c r="C46" s="16" t="inlineStr">
        <is>
          <t>фикс</t>
        </is>
      </c>
      <c r="D46" s="17" t="n">
        <v>20000</v>
      </c>
      <c r="E46" s="22">
        <f>IF($D46="","",$D46*INDEX(Допущения!$C$25:$G$30,MATCH($C46,Допущения!$B$25:$B$30,0),1))</f>
        <v/>
      </c>
      <c r="F46" s="17" t="n">
        <v>0</v>
      </c>
      <c r="G46" s="17" t="n">
        <v>0</v>
      </c>
      <c r="H46" s="17" t="n">
        <v>0</v>
      </c>
      <c r="I46" s="17" t="n">
        <v>0</v>
      </c>
      <c r="J46" s="22">
        <f>SUM(E46:I46)</f>
        <v/>
      </c>
      <c r="K46" s="23" t="n"/>
      <c r="L46" s="24" t="inlineStr">
        <is>
          <t>Найм 3 контракторов сверх заморозки (А6). Только Год 1</t>
        </is>
      </c>
    </row>
    <row r="47" ht="15.75" customHeight="1" s="33">
      <c r="B47" s="10" t="n"/>
      <c r="C47" s="16" t="inlineStr">
        <is>
          <t>фикс</t>
        </is>
      </c>
      <c r="D47" s="17" t="n"/>
      <c r="E47" s="22">
        <f>IF($D47="","",$D47*INDEX(Допущения!$C$25:$G$30,MATCH($C47,Допущения!$B$25:$B$30,0),1))</f>
        <v/>
      </c>
      <c r="F47" s="22">
        <f>IF($D47="","",$D47*INDEX(Допущения!$C$25:$G$30,MATCH($C47,Допущения!$B$25:$B$30,0),2))</f>
        <v/>
      </c>
      <c r="G47" s="22">
        <f>IF($D47="","",$D47*INDEX(Допущения!$C$25:$G$30,MATCH($C47,Допущения!$B$25:$B$30,0),3))</f>
        <v/>
      </c>
      <c r="H47" s="22">
        <f>IF($D47="","",$D47*INDEX(Допущения!$C$25:$G$30,MATCH($C47,Допущения!$B$25:$B$30,0),4))</f>
        <v/>
      </c>
      <c r="I47" s="22">
        <f>IF($D47="","",$D47*INDEX(Допущения!$C$25:$G$30,MATCH($C47,Допущения!$B$25:$B$30,0),5))</f>
        <v/>
      </c>
      <c r="J47" s="22">
        <f>SUM(E47:I47)</f>
        <v/>
      </c>
      <c r="K47" s="23" t="n"/>
      <c r="L47" s="24" t="inlineStr">
        <is>
          <t>Своя статья</t>
        </is>
      </c>
    </row>
    <row r="48" ht="15.75" customHeight="1" s="33">
      <c r="B48" s="25" t="inlineStr">
        <is>
          <t>Итого по блоку</t>
        </is>
      </c>
      <c r="C48" s="26" t="n"/>
      <c r="D48" s="26" t="n"/>
      <c r="E48" s="27">
        <f>SUM(E43:E47)</f>
        <v/>
      </c>
      <c r="F48" s="27">
        <f>SUM(F43:F47)</f>
        <v/>
      </c>
      <c r="G48" s="27">
        <f>SUM(G43:G47)</f>
        <v/>
      </c>
      <c r="H48" s="27">
        <f>SUM(H43:H47)</f>
        <v/>
      </c>
      <c r="I48" s="27">
        <f>SUM(I43:I47)</f>
        <v/>
      </c>
      <c r="J48" s="27">
        <f>SUM(J43:J47)</f>
        <v/>
      </c>
      <c r="K48" s="28">
        <f>IFERROR(J48/$J$51,0)</f>
        <v/>
      </c>
      <c r="L48" s="26" t="n"/>
    </row>
    <row r="49" ht="15.75" customHeight="1" s="33">
      <c r="C49" s="29" t="n"/>
    </row>
    <row r="50" ht="15.75" customHeight="1" s="33">
      <c r="B50" s="14" t="inlineStr">
        <is>
          <t>Резерв на непредвиденное (contingency)</t>
        </is>
      </c>
      <c r="C50" s="29" t="n"/>
      <c r="E50" s="30">
        <f>(E15+E24+E32+E40+E48)*Допущения!$C$17</f>
        <v/>
      </c>
      <c r="F50" s="30">
        <f>(F15+F24+F32+F40+F48)*Допущения!$C$17</f>
        <v/>
      </c>
      <c r="G50" s="30">
        <f>(G15+G24+G32+G40+G48)*Допущения!$C$17</f>
        <v/>
      </c>
      <c r="H50" s="30">
        <f>(H15+H24+H32+H40+H48)*Допущения!$C$17</f>
        <v/>
      </c>
      <c r="I50" s="30">
        <f>(I15+I24+I32+I40+I48)*Допущения!$C$17</f>
        <v/>
      </c>
      <c r="J50" s="22">
        <f>SUM(E50:I50)</f>
        <v/>
      </c>
      <c r="L50" s="6" t="inlineStr">
        <is>
          <t>Расчёт: сумма блоков 1–5 × ставка резерва с листа «Допущения»</t>
        </is>
      </c>
    </row>
    <row r="51" ht="15.75" customHeight="1" s="33">
      <c r="B51" s="25" t="inlineStr">
        <is>
          <t>ИТОГО прямые затраты (TCO без учёта простоев)</t>
        </is>
      </c>
      <c r="C51" s="29" t="n"/>
      <c r="E51" s="27">
        <f>E15+E24+E32+E40+E48+E50</f>
        <v/>
      </c>
      <c r="F51" s="27">
        <f>F15+F24+F32+F40+F48+F50</f>
        <v/>
      </c>
      <c r="G51" s="27">
        <f>G15+G24+G32+G40+G48+G50</f>
        <v/>
      </c>
      <c r="H51" s="27">
        <f>H15+H24+H32+H40+H48+H50</f>
        <v/>
      </c>
      <c r="I51" s="27">
        <f>I15+I24+I32+I40+I48+I50</f>
        <v/>
      </c>
      <c r="J51" s="27">
        <f>SUM(E51:I51)</f>
        <v/>
      </c>
    </row>
    <row r="52" ht="15.75" customHeight="1" s="33">
      <c r="B52" s="7" t="inlineStr">
        <is>
          <t>БЛОК 6. Стоимость недоступности (риск)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5.75" customHeight="1" s="33">
      <c r="B53" s="10" t="inlineStr">
        <is>
          <t>Ожидаемые потери из-за простоя при целевом SLO</t>
        </is>
      </c>
      <c r="E53" s="30">
        <f>(1-E$80)*Допущения!C$10*Допущения!$C$22*Допущения!$C$21</f>
        <v/>
      </c>
      <c r="F53" s="30">
        <f>(1-F$80)*Допущения!D$10*Допущения!$C$22*Допущения!$C$21</f>
        <v/>
      </c>
      <c r="G53" s="30">
        <f>(1-G$80)*Допущения!E$10*Допущения!$C$22*Допущения!$C$21</f>
        <v/>
      </c>
      <c r="H53" s="30">
        <f>(1-H$80)*Допущения!F$10*Допущения!$C$22*Допущения!$C$21</f>
        <v/>
      </c>
      <c r="I53" s="30">
        <f>(1-I$80)*Допущения!G$10*Допущения!$C$22*Допущения!$C$21</f>
        <v/>
      </c>
      <c r="J53" s="22">
        <f>SUM(E53:I53)</f>
        <v/>
      </c>
      <c r="L53" s="34" t="inlineStr">
        <is>
          <t>Расчёт: (1 - SLO года) × GMV года × пиковый коэффициент × переключатель. Замена $12k/мин: см. Допущения C22</t>
        </is>
      </c>
    </row>
    <row r="54" ht="15.75" customHeight="1" s="33">
      <c r="B54" s="25" t="inlineStr">
        <is>
          <t>ИТОГО TCO с учётом стоимости простоя</t>
        </is>
      </c>
      <c r="E54" s="27">
        <f>E51+E53</f>
        <v/>
      </c>
      <c r="F54" s="27">
        <f>F51+F53</f>
        <v/>
      </c>
      <c r="G54" s="27">
        <f>G51+G53</f>
        <v/>
      </c>
      <c r="H54" s="27">
        <f>H51+H53</f>
        <v/>
      </c>
      <c r="I54" s="27">
        <f>I51+I53</f>
        <v/>
      </c>
      <c r="J54" s="27">
        <f>SUM(E54:I54)</f>
        <v/>
      </c>
    </row>
    <row r="55" ht="15.75" customHeight="1" s="33">
      <c r="B55" s="10" t="inlineStr">
        <is>
          <t>Коэффициент дисконтирования</t>
        </is>
      </c>
      <c r="E55" s="31">
        <f>1/(1+Допущения!$C$16)^0</f>
        <v/>
      </c>
      <c r="F55" s="31">
        <f>1/(1+Допущения!$C$16)^1</f>
        <v/>
      </c>
      <c r="G55" s="31">
        <f>1/(1+Допущения!$C$16)^2</f>
        <v/>
      </c>
      <c r="H55" s="31">
        <f>1/(1+Допущения!$C$16)^3</f>
        <v/>
      </c>
      <c r="I55" s="31">
        <f>1/(1+Допущения!$C$16)^4</f>
        <v/>
      </c>
    </row>
    <row r="56" ht="15.75" customHeight="1" s="33">
      <c r="B56" s="25" t="inlineStr">
        <is>
          <t>Дисконтированный TCO (NPV затрат)</t>
        </is>
      </c>
      <c r="E56" s="27">
        <f>E54*E55</f>
        <v/>
      </c>
      <c r="F56" s="27">
        <f>F54*F55</f>
        <v/>
      </c>
      <c r="G56" s="27">
        <f>G54*G55</f>
        <v/>
      </c>
      <c r="H56" s="27">
        <f>H54*H55</f>
        <v/>
      </c>
      <c r="I56" s="27">
        <f>I54*I55</f>
        <v/>
      </c>
      <c r="J56" s="27">
        <f>SUM(E56:I56)</f>
        <v/>
      </c>
    </row>
    <row r="57" ht="15.75" customHeight="1" s="33"/>
    <row r="58" ht="15.75" customHeight="1" s="33">
      <c r="B58" s="7" t="inlineStr">
        <is>
          <t>Ключевые метрики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5.75" customHeight="1" s="33">
      <c r="B59" s="14" t="inlineStr">
        <is>
          <t>TCO за 5 лет, прямые затраты</t>
        </is>
      </c>
      <c r="E59" s="60">
        <f>J51</f>
        <v/>
      </c>
      <c r="F59" s="61" t="n"/>
      <c r="L59" s="34" t="inlineStr">
        <is>
          <t>Основная цифра для сравнения вариантов в ADR</t>
        </is>
      </c>
    </row>
    <row r="60" ht="15.75" customHeight="1" s="33">
      <c r="B60" s="14" t="inlineStr">
        <is>
          <t>TCO за 5 лет с учётом простоя</t>
        </is>
      </c>
      <c r="E60" s="60">
        <f>J54</f>
        <v/>
      </c>
      <c r="F60" s="61" t="n"/>
      <c r="L60" s="34" t="inlineStr">
        <is>
          <t>Показывает цену недоступности для mission critical</t>
        </is>
      </c>
    </row>
    <row r="61" ht="15.75" customHeight="1" s="33">
      <c r="B61" s="14" t="inlineStr">
        <is>
          <t>NPV затрат за 5 лет</t>
        </is>
      </c>
      <c r="E61" s="60">
        <f>J56</f>
        <v/>
      </c>
      <c r="F61" s="61" t="n"/>
      <c r="L61" s="34" t="inlineStr">
        <is>
          <t>Затраты, приведённые к сегодняшнему дню</t>
        </is>
      </c>
    </row>
    <row r="62" ht="15.75" customHeight="1" s="33">
      <c r="B62" s="14" t="inlineStr">
        <is>
          <t>Средние затраты в год</t>
        </is>
      </c>
      <c r="E62" s="60">
        <f>J51/5</f>
        <v/>
      </c>
      <c r="F62" s="61" t="n"/>
      <c r="L62" s="34" t="inlineStr">
        <is>
          <t>Ориентир для планирования бюджета</t>
        </is>
      </c>
    </row>
    <row r="63" ht="15.75" customHeight="1" s="33">
      <c r="B63" s="14" t="inlineStr">
        <is>
          <t>Облако, $/мес в Год 1</t>
        </is>
      </c>
      <c r="E63" s="60">
        <f>E15/12</f>
        <v/>
      </c>
      <c r="F63" s="61" t="n"/>
      <c r="L63" s="34" t="inlineStr">
        <is>
          <t>Сравнивается с лимитом CFO</t>
        </is>
      </c>
    </row>
    <row r="64" ht="15.75" customHeight="1" s="33">
      <c r="B64" s="14" t="inlineStr">
        <is>
          <t>Проверка бюджета CFO на Год 1</t>
        </is>
      </c>
      <c r="E64" s="62">
        <f>IF(E15/12&lt;=Допущения!$C$18,"В бюджете CFO","ПРЕВЫШЕНИЕ бюджета")</f>
        <v/>
      </c>
      <c r="F64" s="61" t="n"/>
      <c r="L64" s="34" t="inlineStr">
        <is>
          <t>Если превышение — объясни в ADR, чем жертвуешь</t>
        </is>
      </c>
    </row>
    <row r="65" ht="15.75" customHeight="1" s="33">
      <c r="B65" s="14" t="inlineStr">
        <is>
          <t>TCO на 1 заказ за 5 лет</t>
        </is>
      </c>
      <c r="E65" s="63">
        <f>IFERROR(J51/SUM(Допущения!$C$8:$G$8),0)</f>
        <v/>
      </c>
      <c r="F65" s="61" t="n"/>
      <c r="L65" s="34" t="inlineStr">
        <is>
          <t>Юнит-экономика: сколько ИТ стоит в одном заказе</t>
        </is>
      </c>
    </row>
    <row r="66" ht="15.75" customHeight="1" s="33">
      <c r="B66" s="14" t="inlineStr">
        <is>
          <t>TCO на 1 активного пользователя (Год 5)</t>
        </is>
      </c>
      <c r="E66" s="63">
        <f>IFERROR(I51/Допущения!$G$7,0)</f>
        <v/>
      </c>
      <c r="F66" s="61" t="n"/>
      <c r="L66" s="34" t="inlineStr">
        <is>
          <t>Проверка масштабируемости модели</t>
        </is>
      </c>
    </row>
    <row r="67" ht="15.75" customHeight="1" s="33">
      <c r="B67" s="14" t="inlineStr">
        <is>
          <t>Затраты ИТ как доля GMV за 5 лет</t>
        </is>
      </c>
      <c r="E67" s="64">
        <f>IFERROR(J51/SUM(Допущения!$C$10:$G$10),0)</f>
        <v/>
      </c>
      <c r="F67" s="61" t="n"/>
      <c r="L67" s="34" t="inlineStr">
        <is>
          <t>Здоровый маркетплейс — единицы процентов</t>
        </is>
      </c>
    </row>
    <row r="68" ht="15.75" customHeight="1" s="33">
      <c r="B68" s="14" t="inlineStr">
        <is>
          <t>Доля облачной инфраструктуры в TCO</t>
        </is>
      </c>
      <c r="E68" s="65">
        <f>IFERROR(J15/J51,0)</f>
        <v/>
      </c>
      <c r="F68" s="61" t="n"/>
      <c r="L68" s="34" t="inlineStr">
        <is>
          <t>Обычно меньше, чем ожидают студенты</t>
        </is>
      </c>
    </row>
    <row r="69" ht="15.75" customHeight="1" s="33">
      <c r="B69" s="14" t="inlineStr">
        <is>
          <t>Доля транзакционных расходов в TCO</t>
        </is>
      </c>
      <c r="E69" s="65">
        <f>IFERROR(J32/J51,0)</f>
        <v/>
      </c>
      <c r="F69" s="61" t="n"/>
      <c r="L69" s="34" t="inlineStr">
        <is>
          <t>Растёт быстрее всего вместе с GMV</t>
        </is>
      </c>
    </row>
    <row r="70" ht="15.75" customHeight="1" s="33">
      <c r="B70" s="14" t="inlineStr">
        <is>
          <t>Доля команды (ФОТ) в TCO</t>
        </is>
      </c>
      <c r="E70" s="65">
        <f>IFERROR(J40/J51,0)</f>
        <v/>
      </c>
      <c r="F70" s="61" t="n"/>
      <c r="L70" s="34" t="inlineStr">
        <is>
          <t>Как правило, крупнейшая статья</t>
        </is>
      </c>
    </row>
    <row r="71" ht="15.75" customHeight="1" s="33"/>
    <row r="72" ht="15.75" customHeight="1" s="33">
      <c r="B72" s="66" t="inlineStr">
        <is>
          <t>Вывод для ADR (заполнить текстом): какой вариант дешевле, за счёт чего, и какие допущения сильнее всего влияют на результат?</t>
        </is>
      </c>
    </row>
    <row r="73" ht="15" customHeight="1" s="33">
      <c r="B73" s="67" t="inlineStr">
        <is>
          <t>V2 дороже V1 за счёт 3 дополнительных людей и кластера. Облако + SaaS в Год 1 выше лимита $5k/мес. Выигрыш в доступности Год 1-2 не окупает разницу в ФОТ на объёмах пилота.</t>
        </is>
      </c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9" t="n"/>
    </row>
    <row r="74" ht="15.75" customHeight="1" s="33">
      <c r="B74" s="70" t="n"/>
      <c r="L74" s="71" t="n"/>
    </row>
    <row r="75" ht="15.75" customHeight="1" s="33">
      <c r="B75" s="72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4" t="n"/>
    </row>
    <row r="76" ht="15.75" customHeight="1" s="33"/>
    <row r="77" ht="15.75" customHeight="1" s="33">
      <c r="B77" t="inlineStr">
        <is>
          <t>Облако + SaaS, $/мес в Год 1</t>
        </is>
      </c>
      <c r="E77" s="60">
        <f>(E15+E24)/12</f>
        <v/>
      </c>
      <c r="L77" t="inlineStr">
        <is>
          <t>Лимит CFO $5k/мес включает SaaS и мониторинг (А6)</t>
        </is>
      </c>
    </row>
    <row r="78" ht="15.75" customHeight="1" s="33">
      <c r="B78" t="inlineStr">
        <is>
          <t>Проверка лимита CFO с учётом SaaS</t>
        </is>
      </c>
      <c r="E78" s="60">
        <f>IF((E15+E24)/12&lt;=Допущения!$C$18,"В бюджете CFO","ПРЕВЫШЕНИЕ бюджета")</f>
        <v/>
      </c>
    </row>
    <row r="79" ht="15.75" customHeight="1" s="33"/>
    <row r="80" ht="15.75" customHeight="1" s="33">
      <c r="B80" t="inlineStr">
        <is>
          <t>Целевой SLO по годам (вход для блока 6)</t>
        </is>
      </c>
      <c r="E80" s="75" t="n">
        <v>0.9995000000000001</v>
      </c>
      <c r="F80" s="75" t="n">
        <v>0.9995000000000001</v>
      </c>
      <c r="G80" s="75" t="n">
        <v>0.9999</v>
      </c>
      <c r="H80" s="75" t="n">
        <v>0.9999</v>
      </c>
      <c r="I80" s="75" t="n">
        <v>0.9999</v>
      </c>
      <c r="L80" t="inlineStr">
        <is>
          <t>Заполняется по варианту. Блок 6 считает потери от GMV, а не от $12k/мин</t>
        </is>
      </c>
    </row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6:F66"/>
    <mergeCell ref="E61:F61"/>
    <mergeCell ref="E69:F69"/>
    <mergeCell ref="E60:F60"/>
    <mergeCell ref="E70:F70"/>
    <mergeCell ref="E64:F64"/>
    <mergeCell ref="E65:F65"/>
  </mergeCells>
  <dataValidations count="1">
    <dataValidation sqref="C6:C51" showDropDown="0" showInputMessage="0" showErrorMessage="0" allowBlank="1" type="list">
      <formula1>"фикс,инфляция,ФОТ,пользователи,заказы,GMV"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ColWidth="14.42578125" defaultRowHeight="15" customHeight="1"/>
  <cols>
    <col width="3" customWidth="1" style="33" min="1" max="1"/>
    <col width="44" customWidth="1" style="33" min="2" max="2"/>
    <col width="16" customWidth="1" style="33" min="3" max="3"/>
    <col width="15" customWidth="1" style="33" min="4" max="4"/>
    <col width="14" customWidth="1" style="33" min="5" max="10"/>
    <col width="10" customWidth="1" style="33" min="11" max="11"/>
    <col width="46" customWidth="1" style="33" min="12" max="12"/>
    <col width="8.7109375" customWidth="1" style="33" min="13" max="26"/>
  </cols>
  <sheetData>
    <row r="1"/>
    <row r="2">
      <c r="B2" s="1" t="inlineStr">
        <is>
          <t>TCO на 5 лет - V3 Микросервисы по письму CTO: 40-50 сервисов, 3 кластера, Istio, Kafka, Oracle</t>
        </is>
      </c>
    </row>
    <row r="3">
      <c r="B3" s="6" t="inlineStr">
        <is>
          <t>Заполняем колонки «Драйвер роста» и «База, $/год (Год 1)». Годы 1–5 считаются автоматически.</t>
        </is>
      </c>
    </row>
    <row r="4"/>
    <row r="5" ht="31.5" customHeight="1" s="33">
      <c r="B5" s="9" t="inlineStr">
        <is>
          <t>Статья затрат</t>
        </is>
      </c>
      <c r="C5" s="9" t="inlineStr">
        <is>
          <t>Драйвер роста</t>
        </is>
      </c>
      <c r="D5" s="9" t="inlineStr">
        <is>
          <t>База, $/год (Год 1)</t>
        </is>
      </c>
      <c r="E5" s="9" t="inlineStr">
        <is>
          <t>Год 1</t>
        </is>
      </c>
      <c r="F5" s="9" t="inlineStr">
        <is>
          <t>Год 2</t>
        </is>
      </c>
      <c r="G5" s="9" t="inlineStr">
        <is>
          <t>Год 3</t>
        </is>
      </c>
      <c r="H5" s="9" t="inlineStr">
        <is>
          <t>Год 4</t>
        </is>
      </c>
      <c r="I5" s="9" t="inlineStr">
        <is>
          <t>Год 5</t>
        </is>
      </c>
      <c r="J5" s="9" t="inlineStr">
        <is>
          <t>Итого 5 лет</t>
        </is>
      </c>
      <c r="K5" s="9" t="inlineStr">
        <is>
          <t>Доля</t>
        </is>
      </c>
      <c r="L5" s="9" t="inlineStr">
        <is>
          <t>Комментарий / источник</t>
        </is>
      </c>
    </row>
    <row r="6">
      <c r="B6" s="7" t="inlineStr">
        <is>
          <t>БЛОК 1. Облачная инфраструктура (OpEx)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B7" s="10" t="inlineStr">
        <is>
          <t>Compute: ноды / контейнеры / serverless</t>
        </is>
      </c>
      <c r="C7" s="16" t="inlineStr">
        <is>
          <t>пользователи</t>
        </is>
      </c>
      <c r="D7" s="17" t="n">
        <v>48000</v>
      </c>
      <c r="E7" s="22">
        <f>IF($D7="","",$D7*INDEX(Допущения!$C$25:$G$30,MATCH($C7,Допущения!$B$25:$B$30,0),1))</f>
        <v/>
      </c>
      <c r="F7" s="22">
        <f>IF($D7="","",$D7*INDEX(Допущения!$C$25:$G$30,MATCH($C7,Допущения!$B$25:$B$30,0),2))</f>
        <v/>
      </c>
      <c r="G7" s="22">
        <f>IF($D7="","",$D7*INDEX(Допущения!$C$25:$G$30,MATCH($C7,Допущения!$B$25:$B$30,0),3))</f>
        <v/>
      </c>
      <c r="H7" s="22">
        <f>IF($D7="","",$D7*INDEX(Допущения!$C$25:$G$30,MATCH($C7,Допущения!$B$25:$B$30,0),4))</f>
        <v/>
      </c>
      <c r="I7" s="22">
        <f>IF($D7="","",$D7*INDEX(Допущения!$C$25:$G$30,MATCH($C7,Допущения!$B$25:$B$30,0),5))</f>
        <v/>
      </c>
      <c r="J7" s="22">
        <f>SUM(E7:I7)</f>
        <v/>
      </c>
      <c r="K7" s="23" t="n"/>
      <c r="L7" s="24" t="inlineStr">
        <is>
          <t>Основной кластер Kubernetes: ноды под 40-50 сервисов + Istio sidecars (А5)</t>
        </is>
      </c>
    </row>
    <row r="8">
      <c r="B8" s="10" t="inlineStr">
        <is>
          <t>Управляемые БД (PostgreSQL, реплики)</t>
        </is>
      </c>
      <c r="C8" s="16" t="inlineStr">
        <is>
          <t>пользователи</t>
        </is>
      </c>
      <c r="D8" s="17" t="n">
        <v>18000</v>
      </c>
      <c r="E8" s="22">
        <f>IF($D8="","",$D8*INDEX(Допущения!$C$25:$G$30,MATCH($C8,Допущения!$B$25:$B$30,0),1))</f>
        <v/>
      </c>
      <c r="F8" s="22">
        <f>IF($D8="","",$D8*INDEX(Допущения!$C$25:$G$30,MATCH($C8,Допущения!$B$25:$B$30,0),2))</f>
        <v/>
      </c>
      <c r="G8" s="22">
        <f>IF($D8="","",$D8*INDEX(Допущения!$C$25:$G$30,MATCH($C8,Допущения!$B$25:$B$30,0),3))</f>
        <v/>
      </c>
      <c r="H8" s="22">
        <f>IF($D8="","",$D8*INDEX(Допущения!$C$25:$G$30,MATCH($C8,Допущения!$B$25:$B$30,0),4))</f>
        <v/>
      </c>
      <c r="I8" s="22">
        <f>IF($D8="","",$D8*INDEX(Допущения!$C$25:$G$30,MATCH($C8,Допущения!$B$25:$B$30,0),5))</f>
        <v/>
      </c>
      <c r="J8" s="22">
        <f>SUM(E8:I8)</f>
        <v/>
      </c>
      <c r="K8" s="23" t="n"/>
      <c r="L8" s="24" t="inlineStr">
        <is>
          <t>Self-hosted Oracle и PostgreSQL на ВМ и операторах (А5)</t>
        </is>
      </c>
    </row>
    <row r="9">
      <c r="B9" s="10" t="inlineStr">
        <is>
          <t>Хранилище объектов и резервные копии</t>
        </is>
      </c>
      <c r="C9" s="16" t="inlineStr">
        <is>
          <t>пользователи</t>
        </is>
      </c>
      <c r="D9" s="17" t="n">
        <v>3600</v>
      </c>
      <c r="E9" s="22">
        <f>IF($D9="","",$D9*INDEX(Допущения!$C$25:$G$30,MATCH($C9,Допущения!$B$25:$B$30,0),1))</f>
        <v/>
      </c>
      <c r="F9" s="22">
        <f>IF($D9="","",$D9*INDEX(Допущения!$C$25:$G$30,MATCH($C9,Допущения!$B$25:$B$30,0),2))</f>
        <v/>
      </c>
      <c r="G9" s="22">
        <f>IF($D9="","",$D9*INDEX(Допущения!$C$25:$G$30,MATCH($C9,Допущения!$B$25:$B$30,0),3))</f>
        <v/>
      </c>
      <c r="H9" s="22">
        <f>IF($D9="","",$D9*INDEX(Допущения!$C$25:$G$30,MATCH($C9,Допущения!$B$25:$B$30,0),4))</f>
        <v/>
      </c>
      <c r="I9" s="22">
        <f>IF($D9="","",$D9*INDEX(Допущения!$C$25:$G$30,MATCH($C9,Допущения!$B$25:$B$30,0),5))</f>
        <v/>
      </c>
      <c r="J9" s="22">
        <f>SUM(E9:I9)</f>
        <v/>
      </c>
      <c r="K9" s="23" t="n"/>
      <c r="L9" s="24" t="inlineStr">
        <is>
          <t>Объектное хранилище, бэкапы трёх кластеров</t>
        </is>
      </c>
    </row>
    <row r="10">
      <c r="B10" s="10" t="inlineStr">
        <is>
          <t>CDN и исходящий трафик</t>
        </is>
      </c>
      <c r="C10" s="16" t="inlineStr">
        <is>
          <t>пользователи</t>
        </is>
      </c>
      <c r="D10" s="17" t="n">
        <v>4800</v>
      </c>
      <c r="E10" s="22">
        <f>IF($D10="","",$D10*INDEX(Допущения!$C$25:$G$30,MATCH($C10,Допущения!$B$25:$B$30,0),1))</f>
        <v/>
      </c>
      <c r="F10" s="22">
        <f>IF($D10="","",$D10*INDEX(Допущения!$C$25:$G$30,MATCH($C10,Допущения!$B$25:$B$30,0),2))</f>
        <v/>
      </c>
      <c r="G10" s="22">
        <f>IF($D10="","",$D10*INDEX(Допущения!$C$25:$G$30,MATCH($C10,Допущения!$B$25:$B$30,0),3))</f>
        <v/>
      </c>
      <c r="H10" s="22">
        <f>IF($D10="","",$D10*INDEX(Допущения!$C$25:$G$30,MATCH($C10,Допущения!$B$25:$B$30,0),4))</f>
        <v/>
      </c>
      <c r="I10" s="22">
        <f>IF($D10="","",$D10*INDEX(Допущения!$C$25:$G$30,MATCH($C10,Допущения!$B$25:$B$30,0),5))</f>
        <v/>
      </c>
      <c r="J10" s="22">
        <f>SUM(E10:I10)</f>
        <v/>
      </c>
      <c r="K10" s="23" t="n"/>
      <c r="L10" s="24" t="inlineStr">
        <is>
          <t>CDN для фото и статики</t>
        </is>
      </c>
    </row>
    <row r="11">
      <c r="B11" s="10" t="inlineStr">
        <is>
          <t>Очереди / стриминг (Kafka, SQS)</t>
        </is>
      </c>
      <c r="C11" s="16" t="inlineStr">
        <is>
          <t>пользователи</t>
        </is>
      </c>
      <c r="D11" s="17" t="n">
        <v>14400</v>
      </c>
      <c r="E11" s="22">
        <f>IF($D11="","",$D11*INDEX(Допущения!$C$25:$G$30,MATCH($C11,Допущения!$B$25:$B$30,0),1))</f>
        <v/>
      </c>
      <c r="F11" s="22">
        <f>IF($D11="","",$D11*INDEX(Допущения!$C$25:$G$30,MATCH($C11,Допущения!$B$25:$B$30,0),2))</f>
        <v/>
      </c>
      <c r="G11" s="22">
        <f>IF($D11="","",$D11*INDEX(Допущения!$C$25:$G$30,MATCH($C11,Допущения!$B$25:$B$30,0),3))</f>
        <v/>
      </c>
      <c r="H11" s="22">
        <f>IF($D11="","",$D11*INDEX(Допущения!$C$25:$G$30,MATCH($C11,Допущения!$B$25:$B$30,0),4))</f>
        <v/>
      </c>
      <c r="I11" s="22">
        <f>IF($D11="","",$D11*INDEX(Допущения!$C$25:$G$30,MATCH($C11,Допущения!$B$25:$B$30,0),5))</f>
        <v/>
      </c>
      <c r="J11" s="22">
        <f>SUM(E11:I11)</f>
        <v/>
      </c>
      <c r="K11" s="23" t="n"/>
      <c r="L11" s="24" t="inlineStr">
        <is>
          <t>Self-hosted Kafka, 3 брокера × 2 региона (А5)</t>
        </is>
      </c>
    </row>
    <row r="12">
      <c r="B12" s="10" t="inlineStr">
        <is>
          <t>Резервный регион / DR</t>
        </is>
      </c>
      <c r="C12" s="16" t="inlineStr">
        <is>
          <t>пользователи</t>
        </is>
      </c>
      <c r="D12" s="17" t="n">
        <v>48000</v>
      </c>
      <c r="E12" s="22">
        <f>IF($D12="","",$D12*INDEX(Допущения!$C$25:$G$30,MATCH($C12,Допущения!$B$25:$B$30,0),1))</f>
        <v/>
      </c>
      <c r="F12" s="22">
        <f>IF($D12="","",$D12*INDEX(Допущения!$C$25:$G$30,MATCH($C12,Допущения!$B$25:$B$30,0),2))</f>
        <v/>
      </c>
      <c r="G12" s="22">
        <f>IF($D12="","",$D12*INDEX(Допущения!$C$25:$G$30,MATCH($C12,Допущения!$B$25:$B$30,0),3))</f>
        <v/>
      </c>
      <c r="H12" s="22">
        <f>IF($D12="","",$D12*INDEX(Допущения!$C$25:$G$30,MATCH($C12,Допущения!$B$25:$B$30,0),4))</f>
        <v/>
      </c>
      <c r="I12" s="22">
        <f>IF($D12="","",$D12*INDEX(Допущения!$C$25:$G$30,MATCH($C12,Допущения!$B$25:$B$30,0),5))</f>
        <v/>
      </c>
      <c r="J12" s="22">
        <f>SUM(E12:I12)</f>
        <v/>
      </c>
      <c r="K12" s="23" t="n"/>
      <c r="L12" s="24" t="inlineStr">
        <is>
          <t>Второй регион active-active, полная копия, RPO 0 (А5)</t>
        </is>
      </c>
    </row>
    <row r="13">
      <c r="B13" s="10" t="inlineStr">
        <is>
          <t>Локальное размещение данных (NDPR, Нигерия)</t>
        </is>
      </c>
      <c r="C13" s="16" t="inlineStr">
        <is>
          <t>инфляция</t>
        </is>
      </c>
      <c r="D13" s="17" t="n">
        <v>30000</v>
      </c>
      <c r="E13" s="22">
        <f>IF($D13="","",$D13*INDEX(Допущения!$C$25:$G$30,MATCH($C13,Допущения!$B$25:$B$30,0),1))</f>
        <v/>
      </c>
      <c r="F13" s="22">
        <f>IF($D13="","",$D13*INDEX(Допущения!$C$25:$G$30,MATCH($C13,Допущения!$B$25:$B$30,0),2))</f>
        <v/>
      </c>
      <c r="G13" s="22">
        <f>IF($D13="","",$D13*INDEX(Допущения!$C$25:$G$30,MATCH($C13,Допущения!$B$25:$B$30,0),3))</f>
        <v/>
      </c>
      <c r="H13" s="22">
        <f>IF($D13="","",$D13*INDEX(Допущения!$C$25:$G$30,MATCH($C13,Допущения!$B$25:$B$30,0),4))</f>
        <v/>
      </c>
      <c r="I13" s="22">
        <f>IF($D13="","",$D13*INDEX(Допущения!$C$25:$G$30,MATCH($C13,Допущения!$B$25:$B$30,0),5))</f>
        <v/>
      </c>
      <c r="J13" s="22">
        <f>SUM(E13:I13)</f>
        <v/>
      </c>
      <c r="K13" s="23" t="n"/>
      <c r="L13" s="24" t="inlineStr">
        <is>
          <t>On-prem кластер в Нигерии: колокация и аренда оборудования (А5)</t>
        </is>
      </c>
    </row>
    <row r="14">
      <c r="B14" s="10" t="n"/>
      <c r="C14" s="16" t="inlineStr">
        <is>
          <t>фикс</t>
        </is>
      </c>
      <c r="D14" s="17" t="n"/>
      <c r="E14" s="22">
        <f>IF($D14="","",$D14*INDEX(Допущения!$C$25:$G$30,MATCH($C14,Допущения!$B$25:$B$30,0),1))</f>
        <v/>
      </c>
      <c r="F14" s="22">
        <f>IF($D14="","",$D14*INDEX(Допущения!$C$25:$G$30,MATCH($C14,Допущения!$B$25:$B$30,0),2))</f>
        <v/>
      </c>
      <c r="G14" s="22">
        <f>IF($D14="","",$D14*INDEX(Допущения!$C$25:$G$30,MATCH($C14,Допущения!$B$25:$B$30,0),3))</f>
        <v/>
      </c>
      <c r="H14" s="22">
        <f>IF($D14="","",$D14*INDEX(Допущения!$C$25:$G$30,MATCH($C14,Допущения!$B$25:$B$30,0),4))</f>
        <v/>
      </c>
      <c r="I14" s="22">
        <f>IF($D14="","",$D14*INDEX(Допущения!$C$25:$G$30,MATCH($C14,Допущения!$B$25:$B$30,0),5))</f>
        <v/>
      </c>
      <c r="J14" s="22">
        <f>SUM(E14:I14)</f>
        <v/>
      </c>
      <c r="K14" s="23" t="n"/>
      <c r="L14" s="24" t="inlineStr">
        <is>
          <t>Своя статья</t>
        </is>
      </c>
    </row>
    <row r="15">
      <c r="B15" s="25" t="inlineStr">
        <is>
          <t>Итого по блоку</t>
        </is>
      </c>
      <c r="C15" s="26" t="n"/>
      <c r="D15" s="26" t="n"/>
      <c r="E15" s="27">
        <f>SUM(E7:E14)</f>
        <v/>
      </c>
      <c r="F15" s="27">
        <f>SUM(F7:F14)</f>
        <v/>
      </c>
      <c r="G15" s="27">
        <f>SUM(G7:G14)</f>
        <v/>
      </c>
      <c r="H15" s="27">
        <f>SUM(H7:H14)</f>
        <v/>
      </c>
      <c r="I15" s="27">
        <f>SUM(I7:I14)</f>
        <v/>
      </c>
      <c r="J15" s="27">
        <f>SUM(J7:J14)</f>
        <v/>
      </c>
      <c r="K15" s="28">
        <f>IFERROR(J15/$J$51,0)</f>
        <v/>
      </c>
      <c r="L15" s="26" t="n"/>
    </row>
    <row r="16">
      <c r="C16" s="29" t="n"/>
    </row>
    <row r="17">
      <c r="B17" s="7" t="inlineStr">
        <is>
          <t>БЛОК 2. Лицензии, SaaS и инструменты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B18" s="10" t="inlineStr">
        <is>
          <t>Observability (метрики, логи, трейсинг)</t>
        </is>
      </c>
      <c r="C18" s="16" t="inlineStr">
        <is>
          <t>пользователи</t>
        </is>
      </c>
      <c r="D18" s="17" t="n">
        <v>12000</v>
      </c>
      <c r="E18" s="22">
        <f>IF($D18="","",$D18*INDEX(Допущения!$C$25:$G$30,MATCH($C18,Допущения!$B$25:$B$30,0),1))</f>
        <v/>
      </c>
      <c r="F18" s="22">
        <f>IF($D18="","",$D18*INDEX(Допущения!$C$25:$G$30,MATCH($C18,Допущения!$B$25:$B$30,0),2))</f>
        <v/>
      </c>
      <c r="G18" s="22">
        <f>IF($D18="","",$D18*INDEX(Допущения!$C$25:$G$30,MATCH($C18,Допущения!$B$25:$B$30,0),3))</f>
        <v/>
      </c>
      <c r="H18" s="22">
        <f>IF($D18="","",$D18*INDEX(Допущения!$C$25:$G$30,MATCH($C18,Допущения!$B$25:$B$30,0),4))</f>
        <v/>
      </c>
      <c r="I18" s="22">
        <f>IF($D18="","",$D18*INDEX(Допущения!$C$25:$G$30,MATCH($C18,Допущения!$B$25:$B$30,0),5))</f>
        <v/>
      </c>
      <c r="J18" s="22">
        <f>SUM(E18:I18)</f>
        <v/>
      </c>
      <c r="K18" s="23" t="n"/>
      <c r="L18" s="24" t="inlineStr">
        <is>
          <t>Self-hosted Prometheus, Loki, Jaeger, Grafana: ВМ и хранилище (А5)</t>
        </is>
      </c>
    </row>
    <row r="19">
      <c r="B19" s="10" t="inlineStr">
        <is>
          <t>CI/CD, репозиторий, артефакты</t>
        </is>
      </c>
      <c r="C19" s="16" t="inlineStr">
        <is>
          <t>инфляция</t>
        </is>
      </c>
      <c r="D19" s="17" t="n">
        <v>3600</v>
      </c>
      <c r="E19" s="22">
        <f>IF($D19="","",$D19*INDEX(Допущения!$C$25:$G$30,MATCH($C19,Допущения!$B$25:$B$30,0),1))</f>
        <v/>
      </c>
      <c r="F19" s="22">
        <f>IF($D19="","",$D19*INDEX(Допущения!$C$25:$G$30,MATCH($C19,Допущения!$B$25:$B$30,0),2))</f>
        <v/>
      </c>
      <c r="G19" s="22">
        <f>IF($D19="","",$D19*INDEX(Допущения!$C$25:$G$30,MATCH($C19,Допущения!$B$25:$B$30,0),3))</f>
        <v/>
      </c>
      <c r="H19" s="22">
        <f>IF($D19="","",$D19*INDEX(Допущения!$C$25:$G$30,MATCH($C19,Допущения!$B$25:$B$30,0),4))</f>
        <v/>
      </c>
      <c r="I19" s="22">
        <f>IF($D19="","",$D19*INDEX(Допущения!$C$25:$G$30,MATCH($C19,Допущения!$B$25:$B$30,0),5))</f>
        <v/>
      </c>
      <c r="J19" s="22">
        <f>SUM(E19:I19)</f>
        <v/>
      </c>
      <c r="K19" s="23" t="n"/>
      <c r="L19" s="24" t="inlineStr">
        <is>
          <t>GitHub, ArgoCD, реестр образов</t>
        </is>
      </c>
    </row>
    <row r="20">
      <c r="B20" s="10" t="inlineStr">
        <is>
          <t>Безопасность: WAF, секреты, антифрод</t>
        </is>
      </c>
      <c r="C20" s="16" t="inlineStr">
        <is>
          <t>пользователи</t>
        </is>
      </c>
      <c r="D20" s="17" t="n">
        <v>6000</v>
      </c>
      <c r="E20" s="22">
        <f>IF($D20="","",$D20*INDEX(Допущения!$C$25:$G$30,MATCH($C20,Допущения!$B$25:$B$30,0),1))</f>
        <v/>
      </c>
      <c r="F20" s="22">
        <f>IF($D20="","",$D20*INDEX(Допущения!$C$25:$G$30,MATCH($C20,Допущения!$B$25:$B$30,0),2))</f>
        <v/>
      </c>
      <c r="G20" s="22">
        <f>IF($D20="","",$D20*INDEX(Допущения!$C$25:$G$30,MATCH($C20,Допущения!$B$25:$B$30,0),3))</f>
        <v/>
      </c>
      <c r="H20" s="22">
        <f>IF($D20="","",$D20*INDEX(Допущения!$C$25:$G$30,MATCH($C20,Допущения!$B$25:$B$30,0),4))</f>
        <v/>
      </c>
      <c r="I20" s="22">
        <f>IF($D20="","",$D20*INDEX(Допущения!$C$25:$G$30,MATCH($C20,Допущения!$B$25:$B$30,0),5))</f>
        <v/>
      </c>
      <c r="J20" s="22">
        <f>SUM(E20:I20)</f>
        <v/>
      </c>
      <c r="K20" s="23" t="n"/>
      <c r="L20" s="24" t="inlineStr">
        <is>
          <t>Istio mTLS, Vault, WAF</t>
        </is>
      </c>
    </row>
    <row r="21" ht="15.75" customHeight="1" s="33">
      <c r="B21" s="10" t="inlineStr">
        <is>
          <t>WhatsApp Business API (подписка)</t>
        </is>
      </c>
      <c r="C21" s="16" t="inlineStr">
        <is>
          <t>инфляция</t>
        </is>
      </c>
      <c r="D21" s="17" t="n">
        <v>1200</v>
      </c>
      <c r="E21" s="22">
        <f>IF($D21="","",$D21*INDEX(Допущения!$C$25:$G$30,MATCH($C21,Допущения!$B$25:$B$30,0),1))</f>
        <v/>
      </c>
      <c r="F21" s="22">
        <f>IF($D21="","",$D21*INDEX(Допущения!$C$25:$G$30,MATCH($C21,Допущения!$B$25:$B$30,0),2))</f>
        <v/>
      </c>
      <c r="G21" s="22">
        <f>IF($D21="","",$D21*INDEX(Допущения!$C$25:$G$30,MATCH($C21,Допущения!$B$25:$B$30,0),3))</f>
        <v/>
      </c>
      <c r="H21" s="22">
        <f>IF($D21="","",$D21*INDEX(Допущения!$C$25:$G$30,MATCH($C21,Допущения!$B$25:$B$30,0),4))</f>
        <v/>
      </c>
      <c r="I21" s="22">
        <f>IF($D21="","",$D21*INDEX(Допущения!$C$25:$G$30,MATCH($C21,Допущения!$B$25:$B$30,0),5))</f>
        <v/>
      </c>
      <c r="J21" s="22">
        <f>SUM(E21:I21)</f>
        <v/>
      </c>
      <c r="K21" s="23" t="n"/>
      <c r="L21" s="24" t="inlineStr">
        <is>
          <t>BSP-подписка WhatsApp Business API</t>
        </is>
      </c>
    </row>
    <row r="22" ht="15.75" customHeight="1" s="33">
      <c r="B22" s="10" t="inlineStr">
        <is>
          <t>Прочее ПО и подписки</t>
        </is>
      </c>
      <c r="C22" s="16" t="inlineStr">
        <is>
          <t>инфляция</t>
        </is>
      </c>
      <c r="D22" s="17" t="n">
        <v>2400</v>
      </c>
      <c r="E22" s="22">
        <f>IF($D22="","",$D22*INDEX(Допущения!$C$25:$G$30,MATCH($C22,Допущения!$B$25:$B$30,0),1))</f>
        <v/>
      </c>
      <c r="F22" s="22">
        <f>IF($D22="","",$D22*INDEX(Допущения!$C$25:$G$30,MATCH($C22,Допущения!$B$25:$B$30,0),2))</f>
        <v/>
      </c>
      <c r="G22" s="22">
        <f>IF($D22="","",$D22*INDEX(Допущения!$C$25:$G$30,MATCH($C22,Допущения!$B$25:$B$30,0),3))</f>
        <v/>
      </c>
      <c r="H22" s="22">
        <f>IF($D22="","",$D22*INDEX(Допущения!$C$25:$G$30,MATCH($C22,Допущения!$B$25:$B$30,0),4))</f>
        <v/>
      </c>
      <c r="I22" s="22">
        <f>IF($D22="","",$D22*INDEX(Допущения!$C$25:$G$30,MATCH($C22,Допущения!$B$25:$B$30,0),5))</f>
        <v/>
      </c>
      <c r="J22" s="22">
        <f>SUM(E22:I22)</f>
        <v/>
      </c>
      <c r="K22" s="23" t="n"/>
      <c r="L22" s="24" t="inlineStr">
        <is>
          <t>Трекер, дизайн</t>
        </is>
      </c>
    </row>
    <row r="23" ht="15.75" customHeight="1" s="33">
      <c r="B23" s="10" t="inlineStr">
        <is>
          <t>Поддержка Oracle EE</t>
        </is>
      </c>
      <c r="C23" s="16" t="inlineStr">
        <is>
          <t>инфляция</t>
        </is>
      </c>
      <c r="D23" s="17" t="n">
        <v>20900</v>
      </c>
      <c r="E23" s="22">
        <f>IF($D23="","",$D23*INDEX(Допущения!$C$25:$G$30,MATCH($C23,Допущения!$B$25:$B$30,0),1))</f>
        <v/>
      </c>
      <c r="F23" s="22">
        <f>IF($D23="","",$D23*INDEX(Допущения!$C$25:$G$30,MATCH($C23,Допущения!$B$25:$B$30,0),2))</f>
        <v/>
      </c>
      <c r="G23" s="22">
        <f>IF($D23="","",$D23*INDEX(Допущения!$C$25:$G$30,MATCH($C23,Допущения!$B$25:$B$30,0),3))</f>
        <v/>
      </c>
      <c r="H23" s="22">
        <f>IF($D23="","",$D23*INDEX(Допущения!$C$25:$G$30,MATCH($C23,Допущения!$B$25:$B$30,0),4))</f>
        <v/>
      </c>
      <c r="I23" s="22">
        <f>IF($D23="","",$D23*INDEX(Допущения!$C$25:$G$30,MATCH($C23,Допущения!$B$25:$B$30,0),5))</f>
        <v/>
      </c>
      <c r="J23" s="22">
        <f>SUM(E23:I23)</f>
        <v/>
      </c>
      <c r="K23" s="23" t="n"/>
      <c r="L23" s="24" t="inlineStr">
        <is>
          <t>Поддержка Oracle EE: 22% от лицензии в год</t>
        </is>
      </c>
    </row>
    <row r="24" ht="15.75" customHeight="1" s="33">
      <c r="B24" s="25" t="inlineStr">
        <is>
          <t>Итого по блоку</t>
        </is>
      </c>
      <c r="C24" s="26" t="n"/>
      <c r="D24" s="26" t="n"/>
      <c r="E24" s="27">
        <f>SUM(E18:E23)</f>
        <v/>
      </c>
      <c r="F24" s="27">
        <f>SUM(F18:F23)</f>
        <v/>
      </c>
      <c r="G24" s="27">
        <f>SUM(G18:G23)</f>
        <v/>
      </c>
      <c r="H24" s="27">
        <f>SUM(H18:H23)</f>
        <v/>
      </c>
      <c r="I24" s="27">
        <f>SUM(I18:I23)</f>
        <v/>
      </c>
      <c r="J24" s="27">
        <f>SUM(J18:J23)</f>
        <v/>
      </c>
      <c r="K24" s="28">
        <f>IFERROR(J24/$J$51,0)</f>
        <v/>
      </c>
      <c r="L24" s="26" t="n"/>
    </row>
    <row r="25" ht="15.75" customHeight="1" s="33">
      <c r="C25" s="29" t="n"/>
    </row>
    <row r="26" ht="15.75" customHeight="1" s="33">
      <c r="B26" s="7" t="inlineStr">
        <is>
          <t>БЛОК 3. Транзакционные расходы (Buy / Partner)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5.75" customHeight="1" s="33">
      <c r="B27" s="10" t="inlineStr">
        <is>
          <t>Комиссии платёжных провайдеров</t>
        </is>
      </c>
      <c r="C27" s="16" t="inlineStr">
        <is>
          <t>GMV</t>
        </is>
      </c>
      <c r="D27" s="17" t="n">
        <v>480000</v>
      </c>
      <c r="E27" s="22">
        <f>IF($D27="","",$D27*INDEX(Допущения!$C$25:$G$30,MATCH($C27,Допущения!$B$25:$B$30,0),1))</f>
        <v/>
      </c>
      <c r="F27" s="22">
        <f>IF($D27="","",$D27*INDEX(Допущения!$C$25:$G$30,MATCH($C27,Допущения!$B$25:$B$30,0),2))</f>
        <v/>
      </c>
      <c r="G27" s="22">
        <f>IF($D27="","",$D27*INDEX(Допущения!$C$25:$G$30,MATCH($C27,Допущения!$B$25:$B$30,0),3))</f>
        <v/>
      </c>
      <c r="H27" s="22">
        <f>IF($D27="","",$D27*INDEX(Допущения!$C$25:$G$30,MATCH($C27,Допущения!$B$25:$B$30,0),4))</f>
        <v/>
      </c>
      <c r="I27" s="22">
        <f>IF($D27="","",$D27*INDEX(Допущения!$C$25:$G$30,MATCH($C27,Допущения!$B$25:$B$30,0),5))</f>
        <v/>
      </c>
      <c r="J27" s="22">
        <f>SUM(E27:I27)</f>
        <v/>
      </c>
      <c r="K27" s="23" t="n"/>
      <c r="L27" s="24" t="inlineStr">
        <is>
          <t>2,0% GMV all-in: M-Pesa Daraja (KE), Flutterwave и Paystack (NG). Лимит CFO 2,5% (А6). Одинаково для всех вариантов</t>
        </is>
      </c>
    </row>
    <row r="28" ht="15.75" customHeight="1" s="33">
      <c r="B28" s="10" t="inlineStr">
        <is>
          <t>SMS-уведомления</t>
        </is>
      </c>
      <c r="C28" s="16" t="inlineStr">
        <is>
          <t>заказы</t>
        </is>
      </c>
      <c r="D28" s="17" t="n">
        <v>90000</v>
      </c>
      <c r="E28" s="22">
        <f>IF($D28="","",$D28*INDEX(Допущения!$C$25:$G$30,MATCH($C28,Допущения!$B$25:$B$30,0),1))</f>
        <v/>
      </c>
      <c r="F28" s="22">
        <f>IF($D28="","",$D28*INDEX(Допущения!$C$25:$G$30,MATCH($C28,Допущения!$B$25:$B$30,0),2))</f>
        <v/>
      </c>
      <c r="G28" s="22">
        <f>IF($D28="","",$D28*INDEX(Допущения!$C$25:$G$30,MATCH($C28,Допущения!$B$25:$B$30,0),3))</f>
        <v/>
      </c>
      <c r="H28" s="22">
        <f>IF($D28="","",$D28*INDEX(Допущения!$C$25:$G$30,MATCH($C28,Допущения!$B$25:$B$30,0),4))</f>
        <v/>
      </c>
      <c r="I28" s="22">
        <f>IF($D28="","",$D28*INDEX(Допущения!$C$25:$G$30,MATCH($C28,Допущения!$B$25:$B$30,0),5))</f>
        <v/>
      </c>
      <c r="J28" s="22">
        <f>SUM(E28:I28)</f>
        <v/>
      </c>
      <c r="K28" s="23" t="n"/>
      <c r="L28" s="24" t="inlineStr">
        <is>
          <t>3 SMS на заказ × $0,025</t>
        </is>
      </c>
    </row>
    <row r="29" ht="15.75" customHeight="1" s="33">
      <c r="B29" s="10" t="inlineStr">
        <is>
          <t>WhatsApp-сообщения (за диалог)</t>
        </is>
      </c>
      <c r="C29" s="16" t="inlineStr">
        <is>
          <t>заказы</t>
        </is>
      </c>
      <c r="D29" s="17" t="n">
        <v>18000</v>
      </c>
      <c r="E29" s="22">
        <f>IF($D29="","",$D29*INDEX(Допущения!$C$25:$G$30,MATCH($C29,Допущения!$B$25:$B$30,0),1))</f>
        <v/>
      </c>
      <c r="F29" s="22">
        <f>IF($D29="","",$D29*INDEX(Допущения!$C$25:$G$30,MATCH($C29,Допущения!$B$25:$B$30,0),2))</f>
        <v/>
      </c>
      <c r="G29" s="22">
        <f>IF($D29="","",$D29*INDEX(Допущения!$C$25:$G$30,MATCH($C29,Допущения!$B$25:$B$30,0),3))</f>
        <v/>
      </c>
      <c r="H29" s="22">
        <f>IF($D29="","",$D29*INDEX(Допущения!$C$25:$G$30,MATCH($C29,Допущения!$B$25:$B$30,0),4))</f>
        <v/>
      </c>
      <c r="I29" s="22">
        <f>IF($D29="","",$D29*INDEX(Допущения!$C$25:$G$30,MATCH($C29,Допущения!$B$25:$B$30,0),5))</f>
        <v/>
      </c>
      <c r="J29" s="22">
        <f>SUM(E29:I29)</f>
        <v/>
      </c>
      <c r="K29" s="23" t="n"/>
      <c r="L29" s="24" t="inlineStr">
        <is>
          <t>1 utility-диалог WhatsApp на заказ × $0,015</t>
        </is>
      </c>
    </row>
    <row r="30" ht="15.75" customHeight="1" s="33">
      <c r="B30" s="10" t="inlineStr">
        <is>
          <t>Логистика: интеграции и комиссии партнёров</t>
        </is>
      </c>
      <c r="C30" s="16" t="inlineStr">
        <is>
          <t>заказы</t>
        </is>
      </c>
      <c r="D30" s="17" t="n">
        <v>180000</v>
      </c>
      <c r="E30" s="22">
        <f>IF($D30="","",$D30*INDEX(Допущения!$C$25:$G$30,MATCH($C30,Допущения!$B$25:$B$30,0),1))</f>
        <v/>
      </c>
      <c r="F30" s="22">
        <f>IF($D30="","",$D30*INDEX(Допущения!$C$25:$G$30,MATCH($C30,Допущения!$B$25:$B$30,0),2))</f>
        <v/>
      </c>
      <c r="G30" s="22">
        <f>IF($D30="","",$D30*INDEX(Допущения!$C$25:$G$30,MATCH($C30,Допущения!$B$25:$B$30,0),3))</f>
        <v/>
      </c>
      <c r="H30" s="22">
        <f>IF($D30="","",$D30*INDEX(Допущения!$C$25:$G$30,MATCH($C30,Допущения!$B$25:$B$30,0),4))</f>
        <v/>
      </c>
      <c r="I30" s="22">
        <f>IF($D30="","",$D30*INDEX(Допущения!$C$25:$G$30,MATCH($C30,Допущения!$B$25:$B$30,0),5))</f>
        <v/>
      </c>
      <c r="J30" s="22">
        <f>SUM(E30:I30)</f>
        <v/>
      </c>
      <c r="K30" s="23" t="n"/>
      <c r="L30" s="24" t="inlineStr">
        <is>
          <t>Сбор API Sendbox и Sendy $0,15 на заказ. Тариф доставки платит покупатель</t>
        </is>
      </c>
    </row>
    <row r="31" ht="15.75" customHeight="1" s="33">
      <c r="B31" s="10" t="n"/>
      <c r="C31" s="16" t="inlineStr">
        <is>
          <t>фикс</t>
        </is>
      </c>
      <c r="D31" s="17" t="n"/>
      <c r="E31" s="22">
        <f>IF($D31="","",$D31*INDEX(Допущения!$C$25:$G$30,MATCH($C31,Допущения!$B$25:$B$30,0),1))</f>
        <v/>
      </c>
      <c r="F31" s="22">
        <f>IF($D31="","",$D31*INDEX(Допущения!$C$25:$G$30,MATCH($C31,Допущения!$B$25:$B$30,0),2))</f>
        <v/>
      </c>
      <c r="G31" s="22">
        <f>IF($D31="","",$D31*INDEX(Допущения!$C$25:$G$30,MATCH($C31,Допущения!$B$25:$B$30,0),3))</f>
        <v/>
      </c>
      <c r="H31" s="22">
        <f>IF($D31="","",$D31*INDEX(Допущения!$C$25:$G$30,MATCH($C31,Допущения!$B$25:$B$30,0),4))</f>
        <v/>
      </c>
      <c r="I31" s="22">
        <f>IF($D31="","",$D31*INDEX(Допущения!$C$25:$G$30,MATCH($C31,Допущения!$B$25:$B$30,0),5))</f>
        <v/>
      </c>
      <c r="J31" s="22">
        <f>SUM(E31:I31)</f>
        <v/>
      </c>
      <c r="K31" s="23" t="n"/>
      <c r="L31" s="24" t="inlineStr">
        <is>
          <t>Своя статья</t>
        </is>
      </c>
    </row>
    <row r="32" ht="15.75" customHeight="1" s="33">
      <c r="B32" s="25" t="inlineStr">
        <is>
          <t>Итого по блоку</t>
        </is>
      </c>
      <c r="C32" s="26" t="n"/>
      <c r="D32" s="26" t="n"/>
      <c r="E32" s="27">
        <f>SUM(E27:E31)</f>
        <v/>
      </c>
      <c r="F32" s="27">
        <f>SUM(F27:F31)</f>
        <v/>
      </c>
      <c r="G32" s="27">
        <f>SUM(G27:G31)</f>
        <v/>
      </c>
      <c r="H32" s="27">
        <f>SUM(H27:H31)</f>
        <v/>
      </c>
      <c r="I32" s="27">
        <f>SUM(I27:I31)</f>
        <v/>
      </c>
      <c r="J32" s="27">
        <f>SUM(J27:J31)</f>
        <v/>
      </c>
      <c r="K32" s="28">
        <f>IFERROR(J32/$J$51,0)</f>
        <v/>
      </c>
      <c r="L32" s="26" t="n"/>
    </row>
    <row r="33" ht="15.75" customHeight="1" s="33">
      <c r="C33" s="29" t="n"/>
    </row>
    <row r="34" ht="15.75" customHeight="1" s="33">
      <c r="B34" s="7" t="inlineStr">
        <is>
          <t>БЛОК 4. Команда (ФОТ)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5.75" customHeight="1" s="33">
      <c r="B35" s="10" t="inlineStr">
        <is>
          <t>Разработка (FTE × годовая ставка)</t>
        </is>
      </c>
      <c r="C35" s="16" t="inlineStr">
        <is>
          <t>ФОТ</t>
        </is>
      </c>
      <c r="D35" s="17" t="n">
        <v>720000</v>
      </c>
      <c r="E35" s="22">
        <f>IF($D35="","",$D35*INDEX(Допущения!$C$25:$G$30,MATCH($C35,Допущения!$B$25:$B$30,0),1))</f>
        <v/>
      </c>
      <c r="F35" s="22">
        <f>IF($D35="","",$D35*INDEX(Допущения!$C$25:$G$30,MATCH($C35,Допущения!$B$25:$B$30,0),2))</f>
        <v/>
      </c>
      <c r="G35" s="22">
        <f>IF($D35="","",$D35*INDEX(Допущения!$C$25:$G$30,MATCH($C35,Допущения!$B$25:$B$30,0),3))</f>
        <v/>
      </c>
      <c r="H35" s="22">
        <f>IF($D35="","",$D35*INDEX(Допущения!$C$25:$G$30,MATCH($C35,Допущения!$B$25:$B$30,0),4))</f>
        <v/>
      </c>
      <c r="I35" s="22">
        <f>IF($D35="","",$D35*INDEX(Допущения!$C$25:$G$30,MATCH($C35,Допущения!$B$25:$B$30,0),5))</f>
        <v/>
      </c>
      <c r="J35" s="22">
        <f>SUM(E35:I35)</f>
        <v/>
      </c>
      <c r="K35" s="23" t="n"/>
      <c r="L35" s="24" t="inlineStr">
        <is>
          <t>12 разработчиков: ядро, своя логистика (4), платёжная оркестрация (2) (А5)</t>
        </is>
      </c>
    </row>
    <row r="36" ht="15.75" customHeight="1" s="33">
      <c r="B36" s="10" t="inlineStr">
        <is>
          <t>DevOps / SRE</t>
        </is>
      </c>
      <c r="C36" s="16" t="inlineStr">
        <is>
          <t>ФОТ</t>
        </is>
      </c>
      <c r="D36" s="17" t="n">
        <v>240000</v>
      </c>
      <c r="E36" s="22">
        <f>IF($D36="","",$D36*INDEX(Допущения!$C$25:$G$30,MATCH($C36,Допущения!$B$25:$B$30,0),1))</f>
        <v/>
      </c>
      <c r="F36" s="22">
        <f>IF($D36="","",$D36*INDEX(Допущения!$C$25:$G$30,MATCH($C36,Допущения!$B$25:$B$30,0),2))</f>
        <v/>
      </c>
      <c r="G36" s="22">
        <f>IF($D36="","",$D36*INDEX(Допущения!$C$25:$G$30,MATCH($C36,Допущения!$B$25:$B$30,0),3))</f>
        <v/>
      </c>
      <c r="H36" s="22">
        <f>IF($D36="","",$D36*INDEX(Допущения!$C$25:$G$30,MATCH($C36,Допущения!$B$25:$B$30,0),4))</f>
        <v/>
      </c>
      <c r="I36" s="22">
        <f>IF($D36="","",$D36*INDEX(Допущения!$C$25:$G$30,MATCH($C36,Допущения!$B$25:$B$30,0),5))</f>
        <v/>
      </c>
      <c r="J36" s="22">
        <f>SUM(E36:I36)</f>
        <v/>
      </c>
      <c r="K36" s="23" t="n"/>
      <c r="L36" s="24" t="inlineStr">
        <is>
          <t>4 платформенных инженера: multi-cluster, Istio, Kafka, Oracle DBA</t>
        </is>
      </c>
    </row>
    <row r="37" ht="15.75" customHeight="1" s="33">
      <c r="B37" s="10" t="inlineStr">
        <is>
          <t>Поддержка и дежурства 24/7</t>
        </is>
      </c>
      <c r="C37" s="16" t="inlineStr">
        <is>
          <t>ФОТ</t>
        </is>
      </c>
      <c r="D37" s="17" t="n">
        <v>96000</v>
      </c>
      <c r="E37" s="22">
        <f>IF($D37="","",$D37*INDEX(Допущения!$C$25:$G$30,MATCH($C37,Допущения!$B$25:$B$30,0),1))</f>
        <v/>
      </c>
      <c r="F37" s="22">
        <f>IF($D37="","",$D37*INDEX(Допущения!$C$25:$G$30,MATCH($C37,Допущения!$B$25:$B$30,0),2))</f>
        <v/>
      </c>
      <c r="G37" s="22">
        <f>IF($D37="","",$D37*INDEX(Допущения!$C$25:$G$30,MATCH($C37,Допущения!$B$25:$B$30,0),3))</f>
        <v/>
      </c>
      <c r="H37" s="22">
        <f>IF($D37="","",$D37*INDEX(Допущения!$C$25:$G$30,MATCH($C37,Допущения!$B$25:$B$30,0),4))</f>
        <v/>
      </c>
      <c r="I37" s="22">
        <f>IF($D37="","",$D37*INDEX(Допущения!$C$25:$G$30,MATCH($C37,Допущения!$B$25:$B$30,0),5))</f>
        <v/>
      </c>
      <c r="J37" s="22">
        <f>SUM(E37:I37)</f>
        <v/>
      </c>
      <c r="K37" s="23" t="n"/>
      <c r="L37" s="24" t="inlineStr">
        <is>
          <t>Выделенная ротация 24/7 на трёх кластерах</t>
        </is>
      </c>
    </row>
    <row r="38" ht="15.75" customHeight="1" s="33">
      <c r="B38" s="10" t="inlineStr">
        <is>
          <t>Архитектура и менеджмент</t>
        </is>
      </c>
      <c r="C38" s="16" t="inlineStr">
        <is>
          <t>ФОТ</t>
        </is>
      </c>
      <c r="D38" s="17" t="n">
        <v>150000</v>
      </c>
      <c r="E38" s="22">
        <f>IF($D38="","",$D38*INDEX(Допущения!$C$25:$G$30,MATCH($C38,Допущения!$B$25:$B$30,0),1))</f>
        <v/>
      </c>
      <c r="F38" s="22">
        <f>IF($D38="","",$D38*INDEX(Допущения!$C$25:$G$30,MATCH($C38,Допущения!$B$25:$B$30,0),2))</f>
        <v/>
      </c>
      <c r="G38" s="22">
        <f>IF($D38="","",$D38*INDEX(Допущения!$C$25:$G$30,MATCH($C38,Допущения!$B$25:$B$30,0),3))</f>
        <v/>
      </c>
      <c r="H38" s="22">
        <f>IF($D38="","",$D38*INDEX(Допущения!$C$25:$G$30,MATCH($C38,Допущения!$B$25:$B$30,0),4))</f>
        <v/>
      </c>
      <c r="I38" s="22">
        <f>IF($D38="","",$D38*INDEX(Допущения!$C$25:$G$30,MATCH($C38,Допущения!$B$25:$B$30,0),5))</f>
        <v/>
      </c>
      <c r="J38" s="22">
        <f>SUM(E38:I38)</f>
        <v/>
      </c>
      <c r="K38" s="23" t="n"/>
      <c r="L38" s="24" t="inlineStr">
        <is>
          <t>CTO и SA, доля на платформу</t>
        </is>
      </c>
    </row>
    <row r="39" ht="15.75" customHeight="1" s="33">
      <c r="B39" s="10" t="n"/>
      <c r="C39" s="16" t="inlineStr">
        <is>
          <t>фикс</t>
        </is>
      </c>
      <c r="D39" s="17" t="n"/>
      <c r="E39" s="22">
        <f>IF($D39="","",$D39*INDEX(Допущения!$C$25:$G$30,MATCH($C39,Допущения!$B$25:$B$30,0),1))</f>
        <v/>
      </c>
      <c r="F39" s="22">
        <f>IF($D39="","",$D39*INDEX(Допущения!$C$25:$G$30,MATCH($C39,Допущения!$B$25:$B$30,0),2))</f>
        <v/>
      </c>
      <c r="G39" s="22">
        <f>IF($D39="","",$D39*INDEX(Допущения!$C$25:$G$30,MATCH($C39,Допущения!$B$25:$B$30,0),3))</f>
        <v/>
      </c>
      <c r="H39" s="22">
        <f>IF($D39="","",$D39*INDEX(Допущения!$C$25:$G$30,MATCH($C39,Допущения!$B$25:$B$30,0),4))</f>
        <v/>
      </c>
      <c r="I39" s="22">
        <f>IF($D39="","",$D39*INDEX(Допущения!$C$25:$G$30,MATCH($C39,Допущения!$B$25:$B$30,0),5))</f>
        <v/>
      </c>
      <c r="J39" s="22">
        <f>SUM(E39:I39)</f>
        <v/>
      </c>
      <c r="K39" s="23" t="n"/>
      <c r="L39" s="24" t="inlineStr">
        <is>
          <t>Своя статья</t>
        </is>
      </c>
    </row>
    <row r="40" ht="15.75" customHeight="1" s="33">
      <c r="B40" s="25" t="inlineStr">
        <is>
          <t>Итого по блоку</t>
        </is>
      </c>
      <c r="C40" s="26" t="n"/>
      <c r="D40" s="26" t="n"/>
      <c r="E40" s="27">
        <f>SUM(E35:E39)</f>
        <v/>
      </c>
      <c r="F40" s="27">
        <f>SUM(F35:F39)</f>
        <v/>
      </c>
      <c r="G40" s="27">
        <f>SUM(G35:G39)</f>
        <v/>
      </c>
      <c r="H40" s="27">
        <f>SUM(H35:H39)</f>
        <v/>
      </c>
      <c r="I40" s="27">
        <f>SUM(I35:I39)</f>
        <v/>
      </c>
      <c r="J40" s="27">
        <f>SUM(J35:J39)</f>
        <v/>
      </c>
      <c r="K40" s="28">
        <f>IFERROR(J40/$J$51,0)</f>
        <v/>
      </c>
      <c r="L40" s="26" t="n"/>
    </row>
    <row r="41" ht="15.75" customHeight="1" s="33">
      <c r="C41" s="29" t="n"/>
    </row>
    <row r="42" ht="15.75" customHeight="1" s="33">
      <c r="B42" s="7" t="inlineStr">
        <is>
          <t>БЛОК 5. Разовые затраты и комплаенс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5.75" customHeight="1" s="33">
      <c r="B43" s="10" t="inlineStr">
        <is>
          <t>Юридический и комплаенс-аудит (NDPR, POPIA, KICA)</t>
        </is>
      </c>
      <c r="C43" s="16" t="inlineStr">
        <is>
          <t>фикс</t>
        </is>
      </c>
      <c r="D43" s="17" t="n">
        <v>25000</v>
      </c>
      <c r="E43" s="22">
        <f>IF($D43="","",$D43*INDEX(Допущения!$C$25:$G$30,MATCH($C43,Допущения!$B$25:$B$30,0),1))</f>
        <v/>
      </c>
      <c r="F43" s="17" t="n">
        <v>10000</v>
      </c>
      <c r="G43" s="17" t="n">
        <v>10000</v>
      </c>
      <c r="H43" s="17" t="n">
        <v>10000</v>
      </c>
      <c r="I43" s="17" t="n">
        <v>10000</v>
      </c>
      <c r="J43" s="22">
        <f>SUM(E43:I43)</f>
        <v/>
      </c>
      <c r="K43" s="23" t="n"/>
      <c r="L43" s="24" t="inlineStr">
        <is>
          <t>Регистрация NDPC, DPO, аудит. Далее ежегодный аудит $10k (А3)</t>
        </is>
      </c>
    </row>
    <row r="44" ht="15.75" customHeight="1" s="33">
      <c r="B44" s="10" t="inlineStr">
        <is>
          <t>Пентест и аудит безопасности</t>
        </is>
      </c>
      <c r="C44" s="16" t="inlineStr">
        <is>
          <t>инфляция</t>
        </is>
      </c>
      <c r="D44" s="17" t="n">
        <v>15000</v>
      </c>
      <c r="E44" s="22">
        <f>IF($D44="","",$D44*INDEX(Допущения!$C$25:$G$30,MATCH($C44,Допущения!$B$25:$B$30,0),1))</f>
        <v/>
      </c>
      <c r="F44" s="22">
        <f>IF($D44="","",$D44*INDEX(Допущения!$C$25:$G$30,MATCH($C44,Допущения!$B$25:$B$30,0),2))</f>
        <v/>
      </c>
      <c r="G44" s="22">
        <f>IF($D44="","",$D44*INDEX(Допущения!$C$25:$G$30,MATCH($C44,Допущения!$B$25:$B$30,0),3))</f>
        <v/>
      </c>
      <c r="H44" s="22">
        <f>IF($D44="","",$D44*INDEX(Допущения!$C$25:$G$30,MATCH($C44,Допущения!$B$25:$B$30,0),4))</f>
        <v/>
      </c>
      <c r="I44" s="22">
        <f>IF($D44="","",$D44*INDEX(Допущения!$C$25:$G$30,MATCH($C44,Допущения!$B$25:$B$30,0),5))</f>
        <v/>
      </c>
      <c r="J44" s="22">
        <f>SUM(E44:I44)</f>
        <v/>
      </c>
      <c r="K44" s="23" t="n"/>
      <c r="L44" s="24" t="inlineStr">
        <is>
          <t>Ежегодный пентест, 40-50 сервисов и mesh</t>
        </is>
      </c>
    </row>
    <row r="45" ht="15.75" customHeight="1" s="33">
      <c r="B45" s="10" t="inlineStr">
        <is>
          <t>Миграция данных и интеграции при запуске</t>
        </is>
      </c>
      <c r="C45" s="16" t="inlineStr">
        <is>
          <t>фикс</t>
        </is>
      </c>
      <c r="D45" s="17" t="n">
        <v>0</v>
      </c>
      <c r="E45" s="22">
        <f>IF($D45="","",$D45*INDEX(Допущения!$C$25:$G$30,MATCH($C45,Допущения!$B$25:$B$30,0),1))</f>
        <v/>
      </c>
      <c r="F45" s="22">
        <f>IF($D45="","",$D45*INDEX(Допущения!$C$25:$G$30,MATCH($C45,Допущения!$B$25:$B$30,0),2))</f>
        <v/>
      </c>
      <c r="G45" s="22">
        <f>IF($D45="","",$D45*INDEX(Допущения!$C$25:$G$30,MATCH($C45,Допущения!$B$25:$B$30,0),3))</f>
        <v/>
      </c>
      <c r="H45" s="22">
        <f>IF($D45="","",$D45*INDEX(Допущения!$C$25:$G$30,MATCH($C45,Допущения!$B$25:$B$30,0),4))</f>
        <v/>
      </c>
      <c r="I45" s="22">
        <f>IF($D45="","",$D45*INDEX(Допущения!$C$25:$G$30,MATCH($C45,Допущения!$B$25:$B$30,0),5))</f>
        <v/>
      </c>
      <c r="J45" s="22">
        <f>SUM(E45:I45)</f>
        <v/>
      </c>
      <c r="K45" s="23" t="n"/>
      <c r="L45" s="24" t="inlineStr">
        <is>
          <t>Greenfield, миграции нет</t>
        </is>
      </c>
    </row>
    <row r="46" ht="15.75" customHeight="1" s="33">
      <c r="B46" s="10" t="inlineStr">
        <is>
          <t>Обучение команды и найм</t>
        </is>
      </c>
      <c r="C46" s="16" t="inlineStr">
        <is>
          <t>фикс</t>
        </is>
      </c>
      <c r="D46" s="17" t="n">
        <v>40000</v>
      </c>
      <c r="E46" s="22">
        <f>IF($D46="","",$D46*INDEX(Допущения!$C$25:$G$30,MATCH($C46,Допущения!$B$25:$B$30,0),1))</f>
        <v/>
      </c>
      <c r="F46" s="17" t="n">
        <v>0</v>
      </c>
      <c r="G46" s="17" t="n">
        <v>0</v>
      </c>
      <c r="H46" s="17" t="n">
        <v>0</v>
      </c>
      <c r="I46" s="17" t="n">
        <v>0</v>
      </c>
      <c r="J46" s="22">
        <f>SUM(E46:I46)</f>
        <v/>
      </c>
      <c r="K46" s="23" t="n"/>
      <c r="L46" s="24" t="inlineStr">
        <is>
          <t>Найм 10 инженеров сверх заморозки, обучение Istio и Kafka. Только Год 1</t>
        </is>
      </c>
    </row>
    <row r="47" ht="15.75" customHeight="1" s="33">
      <c r="B47" s="10" t="inlineStr">
        <is>
          <t>Лицензия Oracle EE</t>
        </is>
      </c>
      <c r="C47" s="16" t="inlineStr">
        <is>
          <t>фикс</t>
        </is>
      </c>
      <c r="D47" s="17" t="n">
        <v>95000</v>
      </c>
      <c r="E47" s="22">
        <f>IF($D47="","",$D47*INDEX(Допущения!$C$25:$G$30,MATCH($C47,Допущения!$B$25:$B$30,0),1))</f>
        <v/>
      </c>
      <c r="F47" s="17" t="n">
        <v>0</v>
      </c>
      <c r="G47" s="17" t="n">
        <v>0</v>
      </c>
      <c r="H47" s="17" t="n">
        <v>0</v>
      </c>
      <c r="I47" s="17" t="n">
        <v>0</v>
      </c>
      <c r="J47" s="22">
        <f>SUM(E47:I47)</f>
        <v/>
      </c>
      <c r="K47" s="23" t="n"/>
      <c r="L47" s="24" t="inlineStr">
        <is>
          <t>Лицензия Oracle EE: 2 processor × $47 500 по прайс-листу. Только Год 1</t>
        </is>
      </c>
    </row>
    <row r="48" ht="15.75" customHeight="1" s="33">
      <c r="B48" s="25" t="inlineStr">
        <is>
          <t>Итого по блоку</t>
        </is>
      </c>
      <c r="C48" s="26" t="n"/>
      <c r="D48" s="26" t="n"/>
      <c r="E48" s="27">
        <f>SUM(E43:E47)</f>
        <v/>
      </c>
      <c r="F48" s="27">
        <f>SUM(F43:F47)</f>
        <v/>
      </c>
      <c r="G48" s="27">
        <f>SUM(G43:G47)</f>
        <v/>
      </c>
      <c r="H48" s="27">
        <f>SUM(H43:H47)</f>
        <v/>
      </c>
      <c r="I48" s="27">
        <f>SUM(I43:I47)</f>
        <v/>
      </c>
      <c r="J48" s="27">
        <f>SUM(J43:J47)</f>
        <v/>
      </c>
      <c r="K48" s="28">
        <f>IFERROR(J48/$J$51,0)</f>
        <v/>
      </c>
      <c r="L48" s="26" t="n"/>
    </row>
    <row r="49" ht="15.75" customHeight="1" s="33">
      <c r="C49" s="29" t="n"/>
    </row>
    <row r="50" ht="15.75" customHeight="1" s="33">
      <c r="B50" s="14" t="inlineStr">
        <is>
          <t>Резерв на непредвиденное (contingency)</t>
        </is>
      </c>
      <c r="C50" s="29" t="n"/>
      <c r="E50" s="30">
        <f>(E15+E24+E32+E40+E48)*Допущения!$C$17</f>
        <v/>
      </c>
      <c r="F50" s="30">
        <f>(F15+F24+F32+F40+F48)*Допущения!$C$17</f>
        <v/>
      </c>
      <c r="G50" s="30">
        <f>(G15+G24+G32+G40+G48)*Допущения!$C$17</f>
        <v/>
      </c>
      <c r="H50" s="30">
        <f>(H15+H24+H32+H40+H48)*Допущения!$C$17</f>
        <v/>
      </c>
      <c r="I50" s="30">
        <f>(I15+I24+I32+I40+I48)*Допущения!$C$17</f>
        <v/>
      </c>
      <c r="J50" s="22">
        <f>SUM(E50:I50)</f>
        <v/>
      </c>
      <c r="L50" s="6" t="inlineStr">
        <is>
          <t>Расчёт: сумма блоков 1–5 × ставка резерва с листа «Допущения»</t>
        </is>
      </c>
    </row>
    <row r="51" ht="15.75" customHeight="1" s="33">
      <c r="B51" s="25" t="inlineStr">
        <is>
          <t>ИТОГО прямые затраты (TCO без учёта простоев)</t>
        </is>
      </c>
      <c r="C51" s="29" t="n"/>
      <c r="E51" s="27">
        <f>E15+E24+E32+E40+E48+E50</f>
        <v/>
      </c>
      <c r="F51" s="27">
        <f>F15+F24+F32+F40+F48+F50</f>
        <v/>
      </c>
      <c r="G51" s="27">
        <f>G15+G24+G32+G40+G48+G50</f>
        <v/>
      </c>
      <c r="H51" s="27">
        <f>H15+H24+H32+H40+H48+H50</f>
        <v/>
      </c>
      <c r="I51" s="27">
        <f>I15+I24+I32+I40+I48+I50</f>
        <v/>
      </c>
      <c r="J51" s="27">
        <f>SUM(E51:I51)</f>
        <v/>
      </c>
    </row>
    <row r="52" ht="15.75" customHeight="1" s="33">
      <c r="B52" s="7" t="inlineStr">
        <is>
          <t>БЛОК 6. Стоимость недоступности (риск)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5.75" customHeight="1" s="33">
      <c r="B53" s="10" t="inlineStr">
        <is>
          <t>Ожидаемые потери из-за простоя при целевом SLO</t>
        </is>
      </c>
      <c r="E53" s="30">
        <f>(1-E$80)*Допущения!C$10*Допущения!$C$22*Допущения!$C$21</f>
        <v/>
      </c>
      <c r="F53" s="30">
        <f>(1-F$80)*Допущения!D$10*Допущения!$C$22*Допущения!$C$21</f>
        <v/>
      </c>
      <c r="G53" s="30">
        <f>(1-G$80)*Допущения!E$10*Допущения!$C$22*Допущения!$C$21</f>
        <v/>
      </c>
      <c r="H53" s="30">
        <f>(1-H$80)*Допущения!F$10*Допущения!$C$22*Допущения!$C$21</f>
        <v/>
      </c>
      <c r="I53" s="30">
        <f>(1-I$80)*Допущения!G$10*Допущения!$C$22*Допущения!$C$21</f>
        <v/>
      </c>
      <c r="J53" s="22">
        <f>SUM(E53:I53)</f>
        <v/>
      </c>
      <c r="L53" s="34" t="inlineStr">
        <is>
          <t>Расчёт: (1 - SLO года) × GMV года × пиковый коэффициент × переключатель. Замена $12k/мин: см. Допущения C22</t>
        </is>
      </c>
    </row>
    <row r="54" ht="15.75" customHeight="1" s="33">
      <c r="B54" s="25" t="inlineStr">
        <is>
          <t>ИТОГО TCO с учётом стоимости простоя</t>
        </is>
      </c>
      <c r="E54" s="27">
        <f>E51+E53</f>
        <v/>
      </c>
      <c r="F54" s="27">
        <f>F51+F53</f>
        <v/>
      </c>
      <c r="G54" s="27">
        <f>G51+G53</f>
        <v/>
      </c>
      <c r="H54" s="27">
        <f>H51+H53</f>
        <v/>
      </c>
      <c r="I54" s="27">
        <f>I51+I53</f>
        <v/>
      </c>
      <c r="J54" s="27">
        <f>SUM(E54:I54)</f>
        <v/>
      </c>
    </row>
    <row r="55" ht="15.75" customHeight="1" s="33">
      <c r="B55" s="10" t="inlineStr">
        <is>
          <t>Коэффициент дисконтирования</t>
        </is>
      </c>
      <c r="E55" s="31">
        <f>1/(1+Допущения!$C$16)^0</f>
        <v/>
      </c>
      <c r="F55" s="31">
        <f>1/(1+Допущения!$C$16)^1</f>
        <v/>
      </c>
      <c r="G55" s="31">
        <f>1/(1+Допущения!$C$16)^2</f>
        <v/>
      </c>
      <c r="H55" s="31">
        <f>1/(1+Допущения!$C$16)^3</f>
        <v/>
      </c>
      <c r="I55" s="31">
        <f>1/(1+Допущения!$C$16)^4</f>
        <v/>
      </c>
    </row>
    <row r="56" ht="15.75" customHeight="1" s="33">
      <c r="B56" s="25" t="inlineStr">
        <is>
          <t>Дисконтированный TCO (NPV затрат)</t>
        </is>
      </c>
      <c r="E56" s="27">
        <f>E54*E55</f>
        <v/>
      </c>
      <c r="F56" s="27">
        <f>F54*F55</f>
        <v/>
      </c>
      <c r="G56" s="27">
        <f>G54*G55</f>
        <v/>
      </c>
      <c r="H56" s="27">
        <f>H54*H55</f>
        <v/>
      </c>
      <c r="I56" s="27">
        <f>I54*I55</f>
        <v/>
      </c>
      <c r="J56" s="27">
        <f>SUM(E56:I56)</f>
        <v/>
      </c>
    </row>
    <row r="57" ht="15.75" customHeight="1" s="33"/>
    <row r="58" ht="15.75" customHeight="1" s="33">
      <c r="B58" s="7" t="inlineStr">
        <is>
          <t>Ключевые метрики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5.75" customHeight="1" s="33">
      <c r="B59" s="14" t="inlineStr">
        <is>
          <t>TCO за 5 лет, прямые затраты</t>
        </is>
      </c>
      <c r="E59" s="60">
        <f>J51</f>
        <v/>
      </c>
      <c r="F59" s="61" t="n"/>
      <c r="L59" s="34" t="inlineStr">
        <is>
          <t>Основная цифра для сравнения вариантов в ADR</t>
        </is>
      </c>
    </row>
    <row r="60" ht="15.75" customHeight="1" s="33">
      <c r="B60" s="14" t="inlineStr">
        <is>
          <t>TCO за 5 лет с учётом простоя</t>
        </is>
      </c>
      <c r="E60" s="60">
        <f>J54</f>
        <v/>
      </c>
      <c r="F60" s="61" t="n"/>
      <c r="L60" s="34" t="inlineStr">
        <is>
          <t>Показывает цену недоступности для mission critical</t>
        </is>
      </c>
    </row>
    <row r="61" ht="15.75" customHeight="1" s="33">
      <c r="B61" s="14" t="inlineStr">
        <is>
          <t>NPV затрат за 5 лет</t>
        </is>
      </c>
      <c r="E61" s="60">
        <f>J56</f>
        <v/>
      </c>
      <c r="F61" s="61" t="n"/>
      <c r="L61" s="34" t="inlineStr">
        <is>
          <t>Затраты, приведённые к сегодняшнему дню</t>
        </is>
      </c>
    </row>
    <row r="62" ht="15.75" customHeight="1" s="33">
      <c r="B62" s="14" t="inlineStr">
        <is>
          <t>Средние затраты в год</t>
        </is>
      </c>
      <c r="E62" s="60">
        <f>J51/5</f>
        <v/>
      </c>
      <c r="F62" s="61" t="n"/>
      <c r="L62" s="34" t="inlineStr">
        <is>
          <t>Ориентир для планирования бюджета</t>
        </is>
      </c>
    </row>
    <row r="63" ht="15.75" customHeight="1" s="33">
      <c r="B63" s="14" t="inlineStr">
        <is>
          <t>Облако, $/мес в Год 1</t>
        </is>
      </c>
      <c r="E63" s="60">
        <f>E15/12</f>
        <v/>
      </c>
      <c r="F63" s="61" t="n"/>
      <c r="L63" s="34" t="inlineStr">
        <is>
          <t>Сравнивается с лимитом CFO</t>
        </is>
      </c>
    </row>
    <row r="64" ht="15.75" customHeight="1" s="33">
      <c r="B64" s="14" t="inlineStr">
        <is>
          <t>Проверка бюджета CFO на Год 1</t>
        </is>
      </c>
      <c r="E64" s="62">
        <f>IF(E15/12&lt;=Допущения!$C$18,"В бюджете CFO","ПРЕВЫШЕНИЕ бюджета")</f>
        <v/>
      </c>
      <c r="F64" s="61" t="n"/>
      <c r="L64" s="34" t="inlineStr">
        <is>
          <t>Если превышение — объясни в ADR, чем жертвуешь</t>
        </is>
      </c>
    </row>
    <row r="65" ht="15.75" customHeight="1" s="33">
      <c r="B65" s="14" t="inlineStr">
        <is>
          <t>TCO на 1 заказ за 5 лет</t>
        </is>
      </c>
      <c r="E65" s="63">
        <f>IFERROR(J51/SUM(Допущения!$C$8:$G$8),0)</f>
        <v/>
      </c>
      <c r="F65" s="61" t="n"/>
      <c r="L65" s="34" t="inlineStr">
        <is>
          <t>Юнит-экономика: сколько ИТ стоит в одном заказе</t>
        </is>
      </c>
    </row>
    <row r="66" ht="15.75" customHeight="1" s="33">
      <c r="B66" s="14" t="inlineStr">
        <is>
          <t>TCO на 1 активного пользователя (Год 5)</t>
        </is>
      </c>
      <c r="E66" s="63">
        <f>IFERROR(I51/Допущения!$G$7,0)</f>
        <v/>
      </c>
      <c r="F66" s="61" t="n"/>
      <c r="L66" s="34" t="inlineStr">
        <is>
          <t>Проверка масштабируемости модели</t>
        </is>
      </c>
    </row>
    <row r="67" ht="15.75" customHeight="1" s="33">
      <c r="B67" s="14" t="inlineStr">
        <is>
          <t>Затраты ИТ как доля GMV за 5 лет</t>
        </is>
      </c>
      <c r="E67" s="64">
        <f>IFERROR(J51/SUM(Допущения!$C$10:$G$10),0)</f>
        <v/>
      </c>
      <c r="F67" s="61" t="n"/>
      <c r="L67" s="34" t="inlineStr">
        <is>
          <t>Здоровый маркетплейс — единицы процентов</t>
        </is>
      </c>
    </row>
    <row r="68" ht="15.75" customHeight="1" s="33">
      <c r="B68" s="14" t="inlineStr">
        <is>
          <t>Доля облачной инфраструктуры в TCO</t>
        </is>
      </c>
      <c r="E68" s="65">
        <f>IFERROR(J15/J51,0)</f>
        <v/>
      </c>
      <c r="F68" s="61" t="n"/>
      <c r="L68" s="34" t="inlineStr">
        <is>
          <t>Обычно меньше, чем ожидают студенты</t>
        </is>
      </c>
    </row>
    <row r="69" ht="15.75" customHeight="1" s="33">
      <c r="B69" s="14" t="inlineStr">
        <is>
          <t>Доля транзакционных расходов в TCO</t>
        </is>
      </c>
      <c r="E69" s="65">
        <f>IFERROR(J32/J51,0)</f>
        <v/>
      </c>
      <c r="F69" s="61" t="n"/>
      <c r="L69" s="34" t="inlineStr">
        <is>
          <t>Растёт быстрее всего вместе с GMV</t>
        </is>
      </c>
    </row>
    <row r="70" ht="15.75" customHeight="1" s="33">
      <c r="B70" s="14" t="inlineStr">
        <is>
          <t>Доля команды (ФОТ) в TCO</t>
        </is>
      </c>
      <c r="E70" s="65">
        <f>IFERROR(J40/J51,0)</f>
        <v/>
      </c>
      <c r="F70" s="61" t="n"/>
      <c r="L70" s="34" t="inlineStr">
        <is>
          <t>Как правило, крупнейшая статья</t>
        </is>
      </c>
    </row>
    <row r="71" ht="15.75" customHeight="1" s="33"/>
    <row r="72" ht="15.75" customHeight="1" s="33">
      <c r="B72" s="66" t="inlineStr">
        <is>
          <t>Вывод для ADR (заполнить текстом): какой вариант дешевле, за счёт чего, и какие допущения сильнее всего влияют на результат?</t>
        </is>
      </c>
    </row>
    <row r="73" ht="15" customHeight="1" s="33">
      <c r="B73" s="67" t="inlineStr">
        <is>
          <t>V3 самый дорогой: ФОТ 16 человек против 6, облако + SaaS в Год 1 в 3,5 раза выше лимита CFO, лицензия Oracle. Ниже ожидаемые потери от простоя, но разница не покрывает перерасход. Запуск 15.10 невозможен: только логистика по оценке CTO занимает 6 месяцев (А5).</t>
        </is>
      </c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9" t="n"/>
    </row>
    <row r="74" ht="15.75" customHeight="1" s="33">
      <c r="B74" s="70" t="n"/>
      <c r="L74" s="71" t="n"/>
    </row>
    <row r="75" ht="15.75" customHeight="1" s="33">
      <c r="B75" s="72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4" t="n"/>
    </row>
    <row r="76" ht="15.75" customHeight="1" s="33"/>
    <row r="77" ht="15.75" customHeight="1" s="33">
      <c r="B77" t="inlineStr">
        <is>
          <t>Облако + SaaS, $/мес в Год 1</t>
        </is>
      </c>
      <c r="E77" s="60">
        <f>(E15+E24)/12</f>
        <v/>
      </c>
      <c r="L77" t="inlineStr">
        <is>
          <t>Лимит CFO $5k/мес включает SaaS и мониторинг (А6)</t>
        </is>
      </c>
    </row>
    <row r="78" ht="15.75" customHeight="1" s="33">
      <c r="B78" t="inlineStr">
        <is>
          <t>Проверка лимита CFO с учётом SaaS</t>
        </is>
      </c>
      <c r="E78" s="60">
        <f>IF((E15+E24)/12&lt;=Допущения!$C$18,"В бюджете CFO","ПРЕВЫШЕНИЕ бюджета")</f>
        <v/>
      </c>
    </row>
    <row r="79" ht="15.75" customHeight="1" s="33"/>
    <row r="80" ht="15.75" customHeight="1" s="33">
      <c r="B80" t="inlineStr">
        <is>
          <t>Целевой SLO по годам (вход для блока 6)</t>
        </is>
      </c>
      <c r="E80" s="75" t="n">
        <v>0.9999</v>
      </c>
      <c r="F80" s="75" t="n">
        <v>0.9999</v>
      </c>
      <c r="G80" s="75" t="n">
        <v>0.9999</v>
      </c>
      <c r="H80" s="75" t="n">
        <v>0.9999</v>
      </c>
      <c r="I80" s="75" t="n">
        <v>0.9999</v>
      </c>
      <c r="L80" t="inlineStr">
        <is>
          <t>Заполняется по варианту. Блок 6 считает потери от GMV, а не от $12k/мин</t>
        </is>
      </c>
    </row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6:F66"/>
    <mergeCell ref="E61:F61"/>
    <mergeCell ref="E69:F69"/>
    <mergeCell ref="E60:F60"/>
    <mergeCell ref="E70:F70"/>
    <mergeCell ref="E64:F64"/>
    <mergeCell ref="E65:F65"/>
  </mergeCells>
  <dataValidations count="1">
    <dataValidation sqref="C6:C51" showDropDown="0" showInputMessage="0" showErrorMessage="0" allowBlank="1" type="list">
      <formula1>"фикс,инфляция,ФОТ,пользователи,заказы,GMV"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2026-08-24T07:50:39Z</dcterms:created>
  <dcterms:modified xmlns:dcterms="http://purl.org/dc/terms/" xmlns:xsi="http://www.w3.org/2001/XMLSchema-instance" xsi:type="dcterms:W3CDTF">2026-10-03T13:58:14Z</dcterms:modified>
</cp:coreProperties>
</file>