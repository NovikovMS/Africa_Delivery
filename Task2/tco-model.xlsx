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romn\PycharmProjects\my\study\solution_architecture_module_9\Task2\"/>
    </mc:Choice>
  </mc:AlternateContent>
  <xr:revisionPtr revIDLastSave="0" documentId="13_ncr:1_{DEA29250-F60D-4195-83C7-18850F7F90EA}" xr6:coauthVersionLast="47" xr6:coauthVersionMax="47" xr10:uidLastSave="{00000000-0000-0000-0000-000000000000}"/>
  <bookViews>
    <workbookView xWindow="-98" yWindow="-98" windowWidth="24196" windowHeight="14476" activeTab="5" xr2:uid="{00000000-000D-0000-FFFF-FFFF00000000}"/>
  </bookViews>
  <sheets>
    <sheet name="Инструкция" sheetId="1" r:id="rId1"/>
    <sheet name="Допущения" sheetId="3" r:id="rId2"/>
    <sheet name="TCO-V1" sheetId="4" r:id="rId3"/>
    <sheet name="TCO-V2" sheetId="5" r:id="rId4"/>
    <sheet name="TCO-V3" sheetId="6" r:id="rId5"/>
    <sheet name="Сводка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7" i="2" l="1"/>
  <c r="C5" i="2"/>
  <c r="I55" i="6"/>
  <c r="H55" i="6"/>
  <c r="G55" i="6"/>
  <c r="F55" i="6"/>
  <c r="E55" i="6"/>
  <c r="E47" i="6"/>
  <c r="J47" i="6" s="1"/>
  <c r="E46" i="6"/>
  <c r="J46" i="6" s="1"/>
  <c r="I45" i="6"/>
  <c r="H45" i="6"/>
  <c r="G45" i="6"/>
  <c r="F45" i="6"/>
  <c r="E45" i="6"/>
  <c r="E44" i="6"/>
  <c r="E43" i="6"/>
  <c r="I39" i="6"/>
  <c r="H39" i="6"/>
  <c r="G39" i="6"/>
  <c r="F39" i="6"/>
  <c r="E39" i="6"/>
  <c r="E38" i="6"/>
  <c r="E37" i="6"/>
  <c r="E36" i="6"/>
  <c r="E35" i="6"/>
  <c r="I31" i="6"/>
  <c r="H31" i="6"/>
  <c r="G31" i="6"/>
  <c r="F31" i="6"/>
  <c r="E31" i="6"/>
  <c r="E23" i="6"/>
  <c r="E22" i="6"/>
  <c r="E21" i="6"/>
  <c r="E19" i="6"/>
  <c r="I14" i="6"/>
  <c r="H14" i="6"/>
  <c r="G14" i="6"/>
  <c r="F14" i="6"/>
  <c r="E14" i="6"/>
  <c r="E13" i="6"/>
  <c r="I55" i="5"/>
  <c r="H55" i="5"/>
  <c r="G55" i="5"/>
  <c r="F55" i="5"/>
  <c r="E55" i="5"/>
  <c r="I47" i="5"/>
  <c r="H47" i="5"/>
  <c r="G47" i="5"/>
  <c r="F47" i="5"/>
  <c r="E47" i="5"/>
  <c r="E46" i="5"/>
  <c r="J46" i="5" s="1"/>
  <c r="I45" i="5"/>
  <c r="H45" i="5"/>
  <c r="G45" i="5"/>
  <c r="F45" i="5"/>
  <c r="E45" i="5"/>
  <c r="J45" i="5" s="1"/>
  <c r="F44" i="5"/>
  <c r="F48" i="5" s="1"/>
  <c r="E44" i="5"/>
  <c r="E43" i="5"/>
  <c r="J43" i="5" s="1"/>
  <c r="J39" i="5"/>
  <c r="E38" i="5"/>
  <c r="E37" i="5"/>
  <c r="E36" i="5"/>
  <c r="E35" i="5"/>
  <c r="E40" i="5" s="1"/>
  <c r="I31" i="5"/>
  <c r="H31" i="5"/>
  <c r="G31" i="5"/>
  <c r="F31" i="5"/>
  <c r="E31" i="5"/>
  <c r="I23" i="5"/>
  <c r="H23" i="5"/>
  <c r="G23" i="5"/>
  <c r="F23" i="5"/>
  <c r="E23" i="5"/>
  <c r="J23" i="5" s="1"/>
  <c r="E22" i="5"/>
  <c r="E21" i="5"/>
  <c r="E19" i="5"/>
  <c r="J14" i="5"/>
  <c r="E13" i="5"/>
  <c r="I55" i="4"/>
  <c r="H55" i="4"/>
  <c r="G55" i="4"/>
  <c r="F55" i="4"/>
  <c r="E55" i="4"/>
  <c r="I47" i="4"/>
  <c r="H47" i="4"/>
  <c r="G47" i="4"/>
  <c r="F47" i="4"/>
  <c r="E47" i="4"/>
  <c r="I46" i="4"/>
  <c r="H46" i="4"/>
  <c r="G46" i="4"/>
  <c r="F46" i="4"/>
  <c r="E46" i="4"/>
  <c r="I45" i="4"/>
  <c r="H45" i="4"/>
  <c r="G45" i="4"/>
  <c r="F45" i="4"/>
  <c r="E45" i="4"/>
  <c r="J45" i="4" s="1"/>
  <c r="E44" i="4"/>
  <c r="E43" i="4"/>
  <c r="E40" i="4"/>
  <c r="J39" i="4"/>
  <c r="E38" i="4"/>
  <c r="E37" i="4"/>
  <c r="E36" i="4"/>
  <c r="E35" i="4"/>
  <c r="I31" i="4"/>
  <c r="H31" i="4"/>
  <c r="G31" i="4"/>
  <c r="F31" i="4"/>
  <c r="E31" i="4"/>
  <c r="I29" i="4"/>
  <c r="I23" i="4"/>
  <c r="H23" i="4"/>
  <c r="G23" i="4"/>
  <c r="F23" i="4"/>
  <c r="E23" i="4"/>
  <c r="E22" i="4"/>
  <c r="E21" i="4"/>
  <c r="H20" i="4"/>
  <c r="E19" i="4"/>
  <c r="I18" i="4"/>
  <c r="J14" i="4"/>
  <c r="E13" i="4"/>
  <c r="G11" i="4"/>
  <c r="I10" i="4"/>
  <c r="H10" i="4"/>
  <c r="I8" i="4"/>
  <c r="G29" i="3"/>
  <c r="I11" i="5" s="1"/>
  <c r="F29" i="3"/>
  <c r="H30" i="6" s="1"/>
  <c r="E29" i="3"/>
  <c r="G29" i="6" s="1"/>
  <c r="D29" i="3"/>
  <c r="F28" i="4" s="1"/>
  <c r="C29" i="3"/>
  <c r="E11" i="5" s="1"/>
  <c r="G28" i="3"/>
  <c r="I18" i="6" s="1"/>
  <c r="F28" i="3"/>
  <c r="H18" i="6" s="1"/>
  <c r="E28" i="3"/>
  <c r="G11" i="6" s="1"/>
  <c r="D28" i="3"/>
  <c r="F12" i="6" s="1"/>
  <c r="C28" i="3"/>
  <c r="E11" i="6" s="1"/>
  <c r="D27" i="3"/>
  <c r="F38" i="6" s="1"/>
  <c r="D26" i="3"/>
  <c r="F22" i="6" s="1"/>
  <c r="G10" i="3"/>
  <c r="G30" i="3" s="1"/>
  <c r="I27" i="6" s="1"/>
  <c r="F10" i="3"/>
  <c r="F30" i="3" s="1"/>
  <c r="E10" i="3"/>
  <c r="G53" i="6" s="1"/>
  <c r="D10" i="3"/>
  <c r="F53" i="5" s="1"/>
  <c r="C10" i="3"/>
  <c r="E53" i="6" s="1"/>
  <c r="C35" i="2"/>
  <c r="E18" i="2"/>
  <c r="D18" i="2"/>
  <c r="C18" i="2"/>
  <c r="J47" i="4" l="1"/>
  <c r="J31" i="4"/>
  <c r="C30" i="3"/>
  <c r="E27" i="4" s="1"/>
  <c r="H8" i="4"/>
  <c r="J39" i="6"/>
  <c r="E48" i="6"/>
  <c r="J45" i="6"/>
  <c r="I11" i="4"/>
  <c r="F12" i="5"/>
  <c r="F21" i="5"/>
  <c r="F22" i="4"/>
  <c r="H28" i="4"/>
  <c r="J46" i="4"/>
  <c r="J31" i="5"/>
  <c r="E40" i="6"/>
  <c r="G29" i="4"/>
  <c r="H27" i="4"/>
  <c r="H27" i="6"/>
  <c r="H27" i="5"/>
  <c r="F13" i="4"/>
  <c r="E26" i="3"/>
  <c r="G19" i="6" s="1"/>
  <c r="J43" i="6"/>
  <c r="E27" i="5"/>
  <c r="F19" i="4"/>
  <c r="E53" i="4"/>
  <c r="I28" i="5"/>
  <c r="E27" i="6"/>
  <c r="I29" i="5"/>
  <c r="G53" i="4"/>
  <c r="F21" i="4"/>
  <c r="I30" i="5"/>
  <c r="I28" i="6"/>
  <c r="I32" i="6" s="1"/>
  <c r="I29" i="6"/>
  <c r="I30" i="6"/>
  <c r="E53" i="5"/>
  <c r="F44" i="4"/>
  <c r="G11" i="5"/>
  <c r="J23" i="4"/>
  <c r="G53" i="5"/>
  <c r="J31" i="6"/>
  <c r="E30" i="3"/>
  <c r="G27" i="6" s="1"/>
  <c r="F13" i="5"/>
  <c r="J14" i="6"/>
  <c r="E28" i="4"/>
  <c r="F19" i="5"/>
  <c r="G22" i="5"/>
  <c r="G21" i="6"/>
  <c r="G23" i="6"/>
  <c r="G44" i="6"/>
  <c r="G48" i="6" s="1"/>
  <c r="H10" i="6"/>
  <c r="F20" i="4"/>
  <c r="I18" i="5"/>
  <c r="F37" i="5"/>
  <c r="E8" i="4"/>
  <c r="G20" i="4"/>
  <c r="F53" i="4"/>
  <c r="I10" i="6"/>
  <c r="G27" i="4"/>
  <c r="F11" i="5"/>
  <c r="E18" i="6"/>
  <c r="F18" i="6"/>
  <c r="I27" i="4"/>
  <c r="G19" i="5"/>
  <c r="F11" i="6"/>
  <c r="E20" i="5"/>
  <c r="E10" i="4"/>
  <c r="E9" i="4"/>
  <c r="E12" i="5"/>
  <c r="F38" i="5"/>
  <c r="G18" i="5"/>
  <c r="G12" i="4"/>
  <c r="G8" i="4"/>
  <c r="G20" i="5"/>
  <c r="G10" i="4"/>
  <c r="G9" i="6"/>
  <c r="G9" i="5"/>
  <c r="G18" i="6"/>
  <c r="G9" i="4"/>
  <c r="F35" i="4"/>
  <c r="F7" i="5"/>
  <c r="G12" i="5"/>
  <c r="J47" i="5"/>
  <c r="E12" i="6"/>
  <c r="H7" i="5"/>
  <c r="H11" i="6"/>
  <c r="H7" i="6"/>
  <c r="H9" i="6"/>
  <c r="H9" i="5"/>
  <c r="H12" i="6"/>
  <c r="H8" i="6"/>
  <c r="H9" i="4"/>
  <c r="G28" i="4"/>
  <c r="F48" i="4"/>
  <c r="G7" i="5"/>
  <c r="H12" i="5"/>
  <c r="H20" i="5"/>
  <c r="G13" i="4"/>
  <c r="F18" i="5"/>
  <c r="F12" i="4"/>
  <c r="F8" i="4"/>
  <c r="F20" i="5"/>
  <c r="F10" i="4"/>
  <c r="F9" i="4"/>
  <c r="E7" i="5"/>
  <c r="I11" i="6"/>
  <c r="I7" i="6"/>
  <c r="I7" i="5"/>
  <c r="I9" i="6"/>
  <c r="I9" i="5"/>
  <c r="I20" i="4"/>
  <c r="I9" i="4"/>
  <c r="E48" i="4"/>
  <c r="I12" i="5"/>
  <c r="I20" i="5"/>
  <c r="E7" i="6"/>
  <c r="G12" i="6"/>
  <c r="E28" i="5"/>
  <c r="E30" i="5"/>
  <c r="E29" i="6"/>
  <c r="E29" i="4"/>
  <c r="E8" i="5"/>
  <c r="F7" i="6"/>
  <c r="I12" i="6"/>
  <c r="E20" i="6"/>
  <c r="F8" i="5"/>
  <c r="I27" i="5"/>
  <c r="I32" i="5" s="1"/>
  <c r="G7" i="6"/>
  <c r="F20" i="6"/>
  <c r="E27" i="3"/>
  <c r="F28" i="5"/>
  <c r="F30" i="5"/>
  <c r="F29" i="6"/>
  <c r="F28" i="6"/>
  <c r="F29" i="4"/>
  <c r="G20" i="6"/>
  <c r="H11" i="5"/>
  <c r="H30" i="4"/>
  <c r="F18" i="4"/>
  <c r="H29" i="4"/>
  <c r="F36" i="4"/>
  <c r="H8" i="5"/>
  <c r="G21" i="5"/>
  <c r="G28" i="5"/>
  <c r="E8" i="6"/>
  <c r="F13" i="6"/>
  <c r="H20" i="6"/>
  <c r="E28" i="6"/>
  <c r="E11" i="4"/>
  <c r="G18" i="4"/>
  <c r="I8" i="5"/>
  <c r="H28" i="5"/>
  <c r="F35" i="5"/>
  <c r="F8" i="6"/>
  <c r="I20" i="6"/>
  <c r="G28" i="6"/>
  <c r="E18" i="4"/>
  <c r="G44" i="4"/>
  <c r="G48" i="4" s="1"/>
  <c r="G8" i="5"/>
  <c r="F11" i="4"/>
  <c r="H18" i="4"/>
  <c r="E48" i="5"/>
  <c r="G8" i="6"/>
  <c r="H28" i="6"/>
  <c r="F37" i="4"/>
  <c r="E9" i="5"/>
  <c r="F36" i="6"/>
  <c r="E30" i="4"/>
  <c r="I8" i="6"/>
  <c r="H11" i="4"/>
  <c r="F30" i="4"/>
  <c r="F9" i="5"/>
  <c r="E29" i="5"/>
  <c r="F21" i="6"/>
  <c r="G30" i="4"/>
  <c r="F29" i="5"/>
  <c r="F36" i="5"/>
  <c r="E9" i="6"/>
  <c r="H29" i="6"/>
  <c r="F53" i="6"/>
  <c r="D30" i="3"/>
  <c r="E7" i="4"/>
  <c r="G19" i="4"/>
  <c r="E10" i="5"/>
  <c r="G29" i="5"/>
  <c r="F9" i="6"/>
  <c r="E12" i="4"/>
  <c r="F10" i="5"/>
  <c r="H29" i="5"/>
  <c r="F7" i="4"/>
  <c r="H53" i="6"/>
  <c r="H53" i="5"/>
  <c r="H53" i="4"/>
  <c r="G7" i="4"/>
  <c r="H12" i="4"/>
  <c r="G10" i="5"/>
  <c r="E10" i="6"/>
  <c r="E30" i="6"/>
  <c r="F10" i="6"/>
  <c r="F30" i="6"/>
  <c r="F37" i="6"/>
  <c r="F35" i="6"/>
  <c r="I53" i="6"/>
  <c r="I53" i="5"/>
  <c r="I53" i="4"/>
  <c r="H7" i="4"/>
  <c r="I12" i="4"/>
  <c r="F38" i="4"/>
  <c r="H10" i="5"/>
  <c r="E18" i="5"/>
  <c r="G30" i="5"/>
  <c r="F22" i="5"/>
  <c r="F23" i="6"/>
  <c r="F19" i="6"/>
  <c r="F44" i="6"/>
  <c r="I7" i="4"/>
  <c r="E20" i="4"/>
  <c r="I10" i="5"/>
  <c r="H18" i="5"/>
  <c r="H30" i="5"/>
  <c r="G10" i="6"/>
  <c r="G30" i="6"/>
  <c r="I30" i="4"/>
  <c r="J43" i="4"/>
  <c r="I28" i="4"/>
  <c r="E32" i="5" l="1"/>
  <c r="J11" i="6"/>
  <c r="I32" i="4"/>
  <c r="G22" i="4"/>
  <c r="F26" i="3"/>
  <c r="H19" i="6" s="1"/>
  <c r="J20" i="4"/>
  <c r="J53" i="4"/>
  <c r="C13" i="2" s="1"/>
  <c r="J29" i="6"/>
  <c r="G22" i="6"/>
  <c r="G13" i="5"/>
  <c r="J53" i="5"/>
  <c r="D13" i="2" s="1"/>
  <c r="H32" i="5"/>
  <c r="H32" i="6"/>
  <c r="J28" i="4"/>
  <c r="H32" i="4"/>
  <c r="G44" i="5"/>
  <c r="G48" i="5" s="1"/>
  <c r="G13" i="6"/>
  <c r="G27" i="5"/>
  <c r="G32" i="5" s="1"/>
  <c r="G21" i="4"/>
  <c r="G24" i="4" s="1"/>
  <c r="J11" i="4"/>
  <c r="J28" i="6"/>
  <c r="F24" i="5"/>
  <c r="J29" i="4"/>
  <c r="G24" i="5"/>
  <c r="F24" i="4"/>
  <c r="G32" i="6"/>
  <c r="J12" i="4"/>
  <c r="J53" i="6"/>
  <c r="E13" i="2" s="1"/>
  <c r="J11" i="5"/>
  <c r="F24" i="6"/>
  <c r="E32" i="6"/>
  <c r="J18" i="6"/>
  <c r="E24" i="6"/>
  <c r="F15" i="4"/>
  <c r="J20" i="6"/>
  <c r="F15" i="5"/>
  <c r="F40" i="4"/>
  <c r="G32" i="4"/>
  <c r="J8" i="6"/>
  <c r="F15" i="6"/>
  <c r="G24" i="6"/>
  <c r="E32" i="4"/>
  <c r="J8" i="4"/>
  <c r="J8" i="5"/>
  <c r="E24" i="5"/>
  <c r="J18" i="5"/>
  <c r="J9" i="5"/>
  <c r="J30" i="5"/>
  <c r="H13" i="5"/>
  <c r="H15" i="5" s="1"/>
  <c r="H44" i="6"/>
  <c r="H48" i="6" s="1"/>
  <c r="H22" i="6"/>
  <c r="H44" i="5"/>
  <c r="H48" i="5" s="1"/>
  <c r="H19" i="4"/>
  <c r="H22" i="5"/>
  <c r="H22" i="4"/>
  <c r="H21" i="5"/>
  <c r="H44" i="4"/>
  <c r="H21" i="4"/>
  <c r="H19" i="5"/>
  <c r="H13" i="4"/>
  <c r="H15" i="4" s="1"/>
  <c r="G26" i="3"/>
  <c r="J10" i="5"/>
  <c r="J28" i="5"/>
  <c r="J30" i="4"/>
  <c r="G15" i="5"/>
  <c r="J9" i="6"/>
  <c r="J12" i="5"/>
  <c r="J18" i="4"/>
  <c r="E24" i="4"/>
  <c r="E15" i="5"/>
  <c r="J7" i="5"/>
  <c r="F48" i="6"/>
  <c r="E15" i="4"/>
  <c r="J7" i="4"/>
  <c r="E15" i="6"/>
  <c r="J7" i="6"/>
  <c r="F40" i="6"/>
  <c r="J9" i="4"/>
  <c r="J10" i="4"/>
  <c r="F27" i="6"/>
  <c r="F27" i="5"/>
  <c r="F27" i="4"/>
  <c r="J10" i="6"/>
  <c r="J20" i="5"/>
  <c r="F40" i="5"/>
  <c r="F27" i="3"/>
  <c r="G36" i="6"/>
  <c r="G35" i="6"/>
  <c r="G36" i="4"/>
  <c r="G38" i="4"/>
  <c r="G38" i="6"/>
  <c r="G36" i="5"/>
  <c r="G37" i="6"/>
  <c r="G37" i="4"/>
  <c r="G35" i="5"/>
  <c r="G35" i="4"/>
  <c r="G38" i="5"/>
  <c r="G37" i="5"/>
  <c r="J30" i="6"/>
  <c r="J29" i="5"/>
  <c r="G15" i="4"/>
  <c r="G15" i="6"/>
  <c r="J12" i="6"/>
  <c r="H13" i="6" l="1"/>
  <c r="H23" i="6"/>
  <c r="H21" i="6"/>
  <c r="D26" i="2"/>
  <c r="H24" i="5"/>
  <c r="H24" i="4"/>
  <c r="E78" i="6"/>
  <c r="E16" i="2" s="1"/>
  <c r="E50" i="6"/>
  <c r="E77" i="6"/>
  <c r="E15" i="2" s="1"/>
  <c r="E64" i="6"/>
  <c r="E63" i="6"/>
  <c r="E14" i="2" s="1"/>
  <c r="E51" i="6"/>
  <c r="E26" i="2"/>
  <c r="E64" i="4"/>
  <c r="E63" i="4"/>
  <c r="C14" i="2" s="1"/>
  <c r="E51" i="4"/>
  <c r="E50" i="4"/>
  <c r="C26" i="2"/>
  <c r="E78" i="4"/>
  <c r="C16" i="2" s="1"/>
  <c r="E77" i="4"/>
  <c r="C15" i="2" s="1"/>
  <c r="G40" i="6"/>
  <c r="E64" i="5"/>
  <c r="E63" i="5"/>
  <c r="D14" i="2" s="1"/>
  <c r="E50" i="5"/>
  <c r="E78" i="5"/>
  <c r="D16" i="2" s="1"/>
  <c r="E77" i="5"/>
  <c r="D15" i="2" s="1"/>
  <c r="H48" i="4"/>
  <c r="H15" i="6"/>
  <c r="H24" i="6"/>
  <c r="F32" i="5"/>
  <c r="J27" i="5"/>
  <c r="J32" i="5" s="1"/>
  <c r="J22" i="6"/>
  <c r="G27" i="3"/>
  <c r="H38" i="4"/>
  <c r="H36" i="6"/>
  <c r="H36" i="4"/>
  <c r="H37" i="6"/>
  <c r="H38" i="6"/>
  <c r="H36" i="5"/>
  <c r="H37" i="4"/>
  <c r="H35" i="5"/>
  <c r="H35" i="6"/>
  <c r="H35" i="4"/>
  <c r="H38" i="5"/>
  <c r="H37" i="5"/>
  <c r="J27" i="4"/>
  <c r="J32" i="4" s="1"/>
  <c r="F32" i="4"/>
  <c r="F32" i="6"/>
  <c r="J27" i="6"/>
  <c r="J32" i="6" s="1"/>
  <c r="I13" i="6"/>
  <c r="I15" i="6" s="1"/>
  <c r="I13" i="5"/>
  <c r="I15" i="5" s="1"/>
  <c r="I22" i="6"/>
  <c r="I44" i="5"/>
  <c r="I48" i="5" s="1"/>
  <c r="I19" i="4"/>
  <c r="I22" i="5"/>
  <c r="J22" i="5" s="1"/>
  <c r="I21" i="6"/>
  <c r="J21" i="6" s="1"/>
  <c r="I13" i="4"/>
  <c r="I15" i="4" s="1"/>
  <c r="I21" i="5"/>
  <c r="J21" i="5" s="1"/>
  <c r="I44" i="4"/>
  <c r="I48" i="4" s="1"/>
  <c r="I22" i="4"/>
  <c r="J22" i="4" s="1"/>
  <c r="I44" i="6"/>
  <c r="I19" i="5"/>
  <c r="J19" i="5" s="1"/>
  <c r="I19" i="6"/>
  <c r="J19" i="6" s="1"/>
  <c r="I21" i="4"/>
  <c r="J21" i="4" s="1"/>
  <c r="I23" i="6"/>
  <c r="J23" i="6" s="1"/>
  <c r="G40" i="4"/>
  <c r="G50" i="4" s="1"/>
  <c r="G51" i="4" s="1"/>
  <c r="G54" i="4" s="1"/>
  <c r="G56" i="4" s="1"/>
  <c r="G40" i="5"/>
  <c r="G50" i="5" s="1"/>
  <c r="G51" i="5" s="1"/>
  <c r="G54" i="5" s="1"/>
  <c r="G56" i="5" s="1"/>
  <c r="E27" i="2" l="1"/>
  <c r="E29" i="2" s="1"/>
  <c r="D27" i="2"/>
  <c r="D29" i="2" s="1"/>
  <c r="I24" i="4"/>
  <c r="J24" i="5"/>
  <c r="J24" i="6"/>
  <c r="J13" i="5"/>
  <c r="J15" i="5" s="1"/>
  <c r="D8" i="2"/>
  <c r="D9" i="2"/>
  <c r="E9" i="2"/>
  <c r="E54" i="6"/>
  <c r="E51" i="5"/>
  <c r="F50" i="6"/>
  <c r="F51" i="6" s="1"/>
  <c r="I38" i="4"/>
  <c r="J38" i="4" s="1"/>
  <c r="I36" i="6"/>
  <c r="J36" i="6" s="1"/>
  <c r="I36" i="4"/>
  <c r="J36" i="4" s="1"/>
  <c r="I35" i="5"/>
  <c r="I38" i="6"/>
  <c r="J38" i="6" s="1"/>
  <c r="I37" i="6"/>
  <c r="J37" i="6" s="1"/>
  <c r="I36" i="5"/>
  <c r="J36" i="5" s="1"/>
  <c r="I37" i="4"/>
  <c r="J37" i="4" s="1"/>
  <c r="I35" i="6"/>
  <c r="I35" i="4"/>
  <c r="I38" i="5"/>
  <c r="J38" i="5" s="1"/>
  <c r="I37" i="5"/>
  <c r="J37" i="5" s="1"/>
  <c r="J13" i="4"/>
  <c r="J15" i="4" s="1"/>
  <c r="E10" i="2"/>
  <c r="G50" i="6"/>
  <c r="G51" i="6" s="1"/>
  <c r="G54" i="6" s="1"/>
  <c r="G56" i="6" s="1"/>
  <c r="D10" i="2"/>
  <c r="H40" i="4"/>
  <c r="E54" i="4"/>
  <c r="J44" i="5"/>
  <c r="J48" i="5" s="1"/>
  <c r="H40" i="6"/>
  <c r="J13" i="6"/>
  <c r="J15" i="6" s="1"/>
  <c r="J19" i="4"/>
  <c r="J24" i="4" s="1"/>
  <c r="C10" i="2"/>
  <c r="I24" i="6"/>
  <c r="I24" i="5"/>
  <c r="H40" i="5"/>
  <c r="H50" i="6"/>
  <c r="H51" i="6" s="1"/>
  <c r="H54" i="6" s="1"/>
  <c r="H56" i="6" s="1"/>
  <c r="I48" i="6"/>
  <c r="J44" i="6"/>
  <c r="J48" i="6" s="1"/>
  <c r="F50" i="5"/>
  <c r="F50" i="4"/>
  <c r="F51" i="4" s="1"/>
  <c r="J44" i="4"/>
  <c r="J48" i="4" s="1"/>
  <c r="F54" i="4" l="1"/>
  <c r="F56" i="4" s="1"/>
  <c r="F54" i="6"/>
  <c r="F56" i="6" s="1"/>
  <c r="E12" i="2"/>
  <c r="F51" i="5"/>
  <c r="F54" i="5" s="1"/>
  <c r="F56" i="5" s="1"/>
  <c r="H50" i="5"/>
  <c r="E56" i="6"/>
  <c r="C8" i="2"/>
  <c r="E8" i="2"/>
  <c r="C12" i="2"/>
  <c r="D12" i="2"/>
  <c r="C9" i="2"/>
  <c r="E56" i="4"/>
  <c r="E54" i="5"/>
  <c r="I40" i="4"/>
  <c r="I40" i="6"/>
  <c r="J35" i="6"/>
  <c r="J40" i="6" s="1"/>
  <c r="E38" i="2" s="1"/>
  <c r="J35" i="4"/>
  <c r="J40" i="4" s="1"/>
  <c r="I40" i="5"/>
  <c r="J35" i="5"/>
  <c r="J40" i="5" s="1"/>
  <c r="H50" i="4"/>
  <c r="E17" i="2" l="1"/>
  <c r="H51" i="4"/>
  <c r="C11" i="2"/>
  <c r="I50" i="6"/>
  <c r="J50" i="6" s="1"/>
  <c r="H51" i="5"/>
  <c r="E11" i="2"/>
  <c r="D11" i="2"/>
  <c r="D38" i="2"/>
  <c r="D17" i="2"/>
  <c r="I50" i="5"/>
  <c r="I51" i="5" s="1"/>
  <c r="I50" i="4"/>
  <c r="J50" i="4" s="1"/>
  <c r="I51" i="4"/>
  <c r="E56" i="5"/>
  <c r="I54" i="5" l="1"/>
  <c r="I56" i="5" s="1"/>
  <c r="E66" i="5"/>
  <c r="E66" i="4"/>
  <c r="I54" i="4"/>
  <c r="I56" i="4" s="1"/>
  <c r="H54" i="5"/>
  <c r="J51" i="5"/>
  <c r="I51" i="6"/>
  <c r="J50" i="5"/>
  <c r="H54" i="4"/>
  <c r="J51" i="4"/>
  <c r="E65" i="4" l="1"/>
  <c r="C19" i="2" s="1"/>
  <c r="E62" i="4"/>
  <c r="E59" i="4"/>
  <c r="E67" i="4"/>
  <c r="C20" i="2" s="1"/>
  <c r="E69" i="4"/>
  <c r="K32" i="4"/>
  <c r="K24" i="4"/>
  <c r="E68" i="4"/>
  <c r="K15" i="4"/>
  <c r="K48" i="4"/>
  <c r="K40" i="4"/>
  <c r="E70" i="4"/>
  <c r="C21" i="2" s="1"/>
  <c r="H56" i="4"/>
  <c r="J56" i="4" s="1"/>
  <c r="E61" i="4" s="1"/>
  <c r="C7" i="2" s="1"/>
  <c r="J54" i="4"/>
  <c r="E60" i="4" s="1"/>
  <c r="C6" i="2" s="1"/>
  <c r="I54" i="6"/>
  <c r="E66" i="6"/>
  <c r="J51" i="6"/>
  <c r="H56" i="5"/>
  <c r="J56" i="5" s="1"/>
  <c r="E61" i="5" s="1"/>
  <c r="D7" i="2" s="1"/>
  <c r="J54" i="5"/>
  <c r="E60" i="5" s="1"/>
  <c r="D6" i="2" s="1"/>
  <c r="E65" i="5"/>
  <c r="D19" i="2" s="1"/>
  <c r="E59" i="5"/>
  <c r="D5" i="2" s="1"/>
  <c r="E67" i="5"/>
  <c r="D20" i="2" s="1"/>
  <c r="E62" i="5"/>
  <c r="E69" i="5"/>
  <c r="E68" i="5"/>
  <c r="K15" i="5"/>
  <c r="K24" i="5"/>
  <c r="K32" i="5"/>
  <c r="K48" i="5"/>
  <c r="K40" i="5"/>
  <c r="E70" i="5"/>
  <c r="D21" i="2" s="1"/>
  <c r="I56" i="6" l="1"/>
  <c r="J56" i="6" s="1"/>
  <c r="E61" i="6" s="1"/>
  <c r="E7" i="2" s="1"/>
  <c r="J54" i="6"/>
  <c r="E60" i="6" s="1"/>
  <c r="E6" i="2" s="1"/>
  <c r="E67" i="6"/>
  <c r="E20" i="2" s="1"/>
  <c r="E65" i="6"/>
  <c r="E19" i="2" s="1"/>
  <c r="E62" i="6"/>
  <c r="E59" i="6"/>
  <c r="E5" i="2" s="1"/>
  <c r="E69" i="6"/>
  <c r="K32" i="6"/>
  <c r="K24" i="6"/>
  <c r="K48" i="6"/>
  <c r="E68" i="6"/>
  <c r="K15" i="6"/>
  <c r="E70" i="6"/>
  <c r="E21" i="2" s="1"/>
  <c r="K40" i="6"/>
</calcChain>
</file>

<file path=xl/sharedStrings.xml><?xml version="1.0" encoding="utf-8"?>
<sst xmlns="http://schemas.openxmlformats.org/spreadsheetml/2006/main" count="615" uniqueCount="302">
  <si>
    <t>Модель TCO (Total Cost of Ownership) — кейс «Africa Delivery», горизонт 5 лет</t>
  </si>
  <si>
    <t>Зачем этот файл</t>
  </si>
  <si>
    <t>Задача</t>
  </si>
  <si>
    <t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</si>
  <si>
    <t>Как использовать</t>
  </si>
  <si>
    <t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</si>
  <si>
    <t>Цветовая легенда</t>
  </si>
  <si>
    <t>Синий текст на жёлтом фоне</t>
  </si>
  <si>
    <t>Ячейки для заполнения. Только их и редактируем.</t>
  </si>
  <si>
    <t>Чёрный текст</t>
  </si>
  <si>
    <t>Формулы. Не трогаем — пересчитаются сами.</t>
  </si>
  <si>
    <t>Зелёный текст</t>
  </si>
  <si>
    <t>Ссылка на лист «Допущения».</t>
  </si>
  <si>
    <t>Порядок работы</t>
  </si>
  <si>
    <t>Шаг 1</t>
  </si>
  <si>
    <t>Лист «Допущения» → блок 1: вбить драйверы бизнеса по годам (активные пользователи, число заказов, средний чек). Из них считается GMV.</t>
  </si>
  <si>
    <t>Шаг 2</t>
  </si>
  <si>
    <t>Лист «Допущения» → блок 2: финансовые допущения (инфляция, рост ФОТ, ставка дисконтирования, резерв, целевой SLO).</t>
  </si>
  <si>
    <t>Шаг 3</t>
  </si>
  <si>
    <t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</si>
  <si>
    <t>Шаг 4</t>
  </si>
  <si>
    <t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</si>
  <si>
    <t>Шаг 5</t>
  </si>
  <si>
    <t>Посмотреть блок «Ключевые метрики» внизу листа TCO и сводку на листе «Сводка». Лимит CFO - $5k/мес с SaaS (А6).</t>
  </si>
  <si>
    <t>Что важно не забыть в этом кейсе</t>
  </si>
  <si>
    <t>Бюджет CFO</t>
  </si>
  <si>
    <t>$5 000/мес на всё техническое с регулярными платежами, включая SaaS и мониторинг (А6). $9k - цифра из презентации совету, разработке недоступна.</t>
  </si>
  <si>
    <t>Цена простоя</t>
  </si>
  <si>
    <t>Инвестор оценивает минуту в $12 000 (А1). Это соответствует GMV $6,3 млрд в год. В модели потери считаются от фактического GMV года с пиковым коэффициентом.</t>
  </si>
  <si>
    <t>Транзакционные расходы</t>
  </si>
  <si>
    <t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</si>
  <si>
    <t>Сравнение вариантов</t>
  </si>
  <si>
    <t>Транзакционные расходы (блок 3) почти одинаковы для любой архитектуры — это pass-through от оборота. Варианты архитектуры сравнивай по блокам 1, 2, 4 и 6.</t>
  </si>
  <si>
    <t>Разовые затраты</t>
  </si>
  <si>
    <t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</si>
  <si>
    <t>Люди</t>
  </si>
  <si>
    <t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</si>
  <si>
    <t>Все числа в файле — примеры для демонстрации формата. Замени их своими оценками и укажи источник в колонке «Комментарий / источник».</t>
  </si>
  <si>
    <t>Сводка вариантов - TCO 5 лет, $</t>
  </si>
  <si>
    <t>Метрика</t>
  </si>
  <si>
    <t>V1 Модульный монолит</t>
  </si>
  <si>
    <t>V2 Сервисы на K8s</t>
  </si>
  <si>
    <t>V3 Микросервисы CTO</t>
  </si>
  <si>
    <t>Комментарий</t>
  </si>
  <si>
    <t>TCO 5 лет, прямые затраты</t>
  </si>
  <si>
    <t>Основа сравнения</t>
  </si>
  <si>
    <t>TCO 5 лет с ожидаемыми потерями от простоя</t>
  </si>
  <si>
    <t>Блок 6 от GMV</t>
  </si>
  <si>
    <t>NPV затрат 5 лет</t>
  </si>
  <si>
    <t>Ставка 25%</t>
  </si>
  <si>
    <t>Блок 1. Облако, 5 лет</t>
  </si>
  <si>
    <t>Блок 2. Лицензии и SaaS, 5 лет</t>
  </si>
  <si>
    <t>Блок 3. Транзакционные, 5 лет</t>
  </si>
  <si>
    <t>Одинаков для всех вариантов</t>
  </si>
  <si>
    <t>Блок 4. ФОТ, 5 лет</t>
  </si>
  <si>
    <t>Главная разница</t>
  </si>
  <si>
    <t>Блок 5. Разовые и комплаенс, 5 лет</t>
  </si>
  <si>
    <t>Блок 6. Ожидаемые потери от простоя, 5 лет</t>
  </si>
  <si>
    <t>Облако, $/мес Год 1</t>
  </si>
  <si>
    <t>Облако + SaaS, $/мес Год 1</t>
  </si>
  <si>
    <t>Лимит CFO $5 000 (А6)</t>
  </si>
  <si>
    <t>Проверка лимита CFO</t>
  </si>
  <si>
    <t>Сравнимая часть: блоки 1, 2, 4, 6, 5 лет</t>
  </si>
  <si>
    <t>Блок 3 одинаков, сравнение по блокам 1, 2, 4, 6</t>
  </si>
  <si>
    <t>Минут простоя за 5 лет при целевом SLO</t>
  </si>
  <si>
    <t>TCO на 1 заказ за 5 лет</t>
  </si>
  <si>
    <t>ИТ-затраты как доля GMV</t>
  </si>
  <si>
    <t>Доля ФОТ в TCO</t>
  </si>
  <si>
    <t>+ невозвратная реклама при срыве 15.10 (А2), $</t>
  </si>
  <si>
    <t>Итого цена ошибки «строим большое», $</t>
  </si>
  <si>
    <t>Обратная ошибка: построили V1, а рост быстрее плана</t>
  </si>
  <si>
    <t>Выделение 2-3 модулей в сервисы: 3 инженера × 4 мес × $5k, $</t>
  </si>
  <si>
    <t>Мультирегион на год раньше плана (Год 2 вместо Год 3), $</t>
  </si>
  <si>
    <t>2 SRE на год раньше плана, $</t>
  </si>
  <si>
    <t>Итого цена ошибки «строим малое», $</t>
  </si>
  <si>
    <t>Точка безубыточности по цене минуты простоя</t>
  </si>
  <si>
    <t>Допущения модели TCO — Africa Delivery</t>
  </si>
  <si>
    <t>Заполняются только ячейки с жёлтой заливкой. Все числа ниже — пример, заменить своими.</t>
  </si>
  <si>
    <t>Показатель</t>
  </si>
  <si>
    <t>Год 1</t>
  </si>
  <si>
    <t>Год 2</t>
  </si>
  <si>
    <t>Год 3</t>
  </si>
  <si>
    <t>Год 4</t>
  </si>
  <si>
    <t>Год 5</t>
  </si>
  <si>
    <t>Комментарий / источник</t>
  </si>
  <si>
    <t>Активные пользователи (на конец года)</t>
  </si>
  <si>
    <t>Цель 12 мес: 1M+ пользователей (ЦБ). Далее 12-15 стран к Год 3 (А1). Не 10M (А5)</t>
  </si>
  <si>
    <t>Число заказов в год</t>
  </si>
  <si>
    <t>Месяц 1: ~20k заказов, месяц 12: ~250k заказов в месяц. Далее рост по странам</t>
  </si>
  <si>
    <t>Средний чек (AOV), $</t>
  </si>
  <si>
    <t>Ставка на низкую цену (ЦБ). Смартфоны дешевле $150 (А2)</t>
  </si>
  <si>
    <t>GMV, $ в год (расчёт)</t>
  </si>
  <si>
    <t>Расчёт: заказы × средний чек</t>
  </si>
  <si>
    <t>Параметр</t>
  </si>
  <si>
    <t>Значение</t>
  </si>
  <si>
    <t>Инфляция затрат, % в год</t>
  </si>
  <si>
    <t>Применяется к статьям с драйвером «инфляция»</t>
  </si>
  <si>
    <t>Рост ФОТ, % в год</t>
  </si>
  <si>
    <t>Рост ставок контракторов</t>
  </si>
  <si>
    <t>Ставка дисконтирования, % в год</t>
  </si>
  <si>
    <t>Runway 9 месяцев (А6): риск выше стандартного стартапа</t>
  </si>
  <si>
    <t>Резерв на непредвиденное (contingency), %</t>
  </si>
  <si>
    <t>Надбавка к прямым затратам</t>
  </si>
  <si>
    <t>Бюджет CFO на облако, $/мес</t>
  </si>
  <si>
    <t>Жёсткий потолок на всё техническое, включая SaaS (А6). $9k - не для разработки</t>
  </si>
  <si>
    <t>Стоимость минуты простоя, $</t>
  </si>
  <si>
    <t>Оценка инвестора (А1). Только справочно: соответствует GMV $6,3 млрд в год</t>
  </si>
  <si>
    <t>Целевой SLO (доступность), %</t>
  </si>
  <si>
    <t>Справочно. В расчёте используется SLO по годам на листе варианта (строка 80)</t>
  </si>
  <si>
    <t>Учитывать стоимость простоя в TCO (1 — да, 0 — нет)</t>
  </si>
  <si>
    <t>Переключатель для сценарного анализа</t>
  </si>
  <si>
    <t>Пиковый коэффициент потерь при простое</t>
  </si>
  <si>
    <t>Простой чаще случается в пик (распродажа, реклама): потери × 3 к среднему GMV/мин</t>
  </si>
  <si>
    <t>Драйвер</t>
  </si>
  <si>
    <t>Как считается</t>
  </si>
  <si>
    <t>фикс</t>
  </si>
  <si>
    <t>Затраты не меняются по годам</t>
  </si>
  <si>
    <t>инфляция</t>
  </si>
  <si>
    <t>Год N = Год N-1 × (1 + инфляция)</t>
  </si>
  <si>
    <t>ФОТ</t>
  </si>
  <si>
    <t>Год N = Год N-1 × (1 + рост ФОТ)</t>
  </si>
  <si>
    <t>пользователи</t>
  </si>
  <si>
    <t>Пропорционально числу активных пользователей</t>
  </si>
  <si>
    <t>заказы</t>
  </si>
  <si>
    <t>Пропорционально числу заказов</t>
  </si>
  <si>
    <t>GMV</t>
  </si>
  <si>
    <t>Пропорционально обороту</t>
  </si>
  <si>
    <t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</si>
  <si>
    <t>TCO на 5 лет - V1 Модульный монолит на managed-сервисах</t>
  </si>
  <si>
    <t>Заполняем колонки «Драйвер роста» и «База, $/год (Год 1)». Годы 1–5 считаются автоматически.</t>
  </si>
  <si>
    <t>Статья затрат</t>
  </si>
  <si>
    <t>Драйвер роста</t>
  </si>
  <si>
    <t>База, $/год (Год 1)</t>
  </si>
  <si>
    <t>Итого 5 лет</t>
  </si>
  <si>
    <t>Доля</t>
  </si>
  <si>
    <t>БЛОК 1. Облачная инфраструктура (OpEx)</t>
  </si>
  <si>
    <t>Compute: ноды / контейнеры / serverless</t>
  </si>
  <si>
    <t>AWS af-south-1: Fargate ARM 4 задачи × (1 vCPU, 2 ГБ) $156 + ALB $36 + NAT $53 = $245/мес</t>
  </si>
  <si>
    <t>Управляемые БД (PostgreSQL, реплики)</t>
  </si>
  <si>
    <t>RDS PostgreSQL db.t4g.large Multi-AZ $239 + 100 ГБ gp3 $30 = $270/мес</t>
  </si>
  <si>
    <t>Хранилище объектов и резервные копии</t>
  </si>
  <si>
    <t>S3 300 ГБ × $0,0274 + запросы = $15/мес: фото 5000 SKU, бэкапы</t>
  </si>
  <si>
    <t>CDN и исходящий трафик</t>
  </si>
  <si>
    <t>CloudFront Южная Африка: 3 ТБ/мес, 1 ТБ бесплатно, $0,11/ГБ + запросы = $265/мес</t>
  </si>
  <si>
    <t>Очереди / стриминг (Kafka, SQS)</t>
  </si>
  <si>
    <t>SQS для уведомлений и вебхуков, ~30 млн запросов/мес. Оценка</t>
  </si>
  <si>
    <t>Резервный регион / DR</t>
  </si>
  <si>
    <t>Warm standby: реплика db.t4g.medium во втором регионе + копии снапшотов = $80/мес</t>
  </si>
  <si>
    <t>Локальное размещение данных (NDPR, Нигерия)</t>
  </si>
  <si>
    <t>Layer3 Лагос: 2 ВМ 2 vCPU / 4 ГБ / 128 ГБ по ₦39 903 + бэкап = $75/мес. Хранилище ПДн</t>
  </si>
  <si>
    <t>Мультирегион с Год 3 (по триггеру)</t>
  </si>
  <si>
    <t>Копия compute и БД во втором регионе с Год 3 по триггеру нагрузки. Числа введены вручную</t>
  </si>
  <si>
    <t>Итого по блоку</t>
  </si>
  <si>
    <t>БЛОК 2. Лицензии, SaaS и инструменты</t>
  </si>
  <si>
    <t>Observability (метрики, логи, трейсинг)</t>
  </si>
  <si>
    <t>Managed Grafana + OpenTelemetry, базовый тариф</t>
  </si>
  <si>
    <t>CI/CD, репозиторий, артефакты</t>
  </si>
  <si>
    <t>GitHub Team + Actions</t>
  </si>
  <si>
    <t>Безопасность: WAF, секреты, антифрод</t>
  </si>
  <si>
    <t>WAF, секреты, сертификаты</t>
  </si>
  <si>
    <t>WhatsApp Business API (подписка)</t>
  </si>
  <si>
    <t>BSP-подписка WhatsApp Business API</t>
  </si>
  <si>
    <t>Прочее ПО и подписки</t>
  </si>
  <si>
    <t>Трекер, дизайн</t>
  </si>
  <si>
    <t>Своя статья</t>
  </si>
  <si>
    <t>БЛОК 3. Транзакционные расходы (Buy / Partner)</t>
  </si>
  <si>
    <t>Комиссии платёжных провайдеров</t>
  </si>
  <si>
    <t>2,0% GMV all-in: M-Pesa Daraja (KE), Flutterwave и Paystack (NG). Лимит CFO 2,5% (А6). Одинаково для всех вариантов</t>
  </si>
  <si>
    <t>SMS-уведомления</t>
  </si>
  <si>
    <t>3 SMS на заказ × $0,025</t>
  </si>
  <si>
    <t>WhatsApp-сообщения (за диалог)</t>
  </si>
  <si>
    <t>1 utility-диалог WhatsApp на заказ × $0,015</t>
  </si>
  <si>
    <t>Логистика: интеграции и комиссии партнёров</t>
  </si>
  <si>
    <t>Сбор API Sendbox и Sendy $0,15 на заказ. Тариф доставки платит покупатель</t>
  </si>
  <si>
    <t>БЛОК 4. Команда (ФОТ)</t>
  </si>
  <si>
    <t>Разработка (FTE × годовая ставка)</t>
  </si>
  <si>
    <t>5 контракторов × $60k</t>
  </si>
  <si>
    <t>DevOps / SRE</t>
  </si>
  <si>
    <t>1 DevOps: БД и очереди эксплуатирует провайдер</t>
  </si>
  <si>
    <t>Поддержка и дежурства 24/7</t>
  </si>
  <si>
    <t>Надбавка за ротацию дежурств внутри 6 контракторов</t>
  </si>
  <si>
    <t>Архитектура и менеджмент</t>
  </si>
  <si>
    <t>CTO и SA, доля на платформу. Одинаково во всех вариантах</t>
  </si>
  <si>
    <t>Усиление SRE с Год 3</t>
  </si>
  <si>
    <t>+2 SRE при переходе на мультирегион. Числа введены вручную</t>
  </si>
  <si>
    <t>БЛОК 5. Разовые затраты и комплаенс</t>
  </si>
  <si>
    <t>Юридический и комплаенс-аудит (NDPR, POPIA, KICA)</t>
  </si>
  <si>
    <t>Регистрация NDPC, DPO, аудит. Далее ежегодный аудит NDPR $10k (А3)</t>
  </si>
  <si>
    <t>Пентест и аудит безопасности</t>
  </si>
  <si>
    <t>Ежегодный пентест</t>
  </si>
  <si>
    <t>Миграция данных и интеграции при запуске</t>
  </si>
  <si>
    <t>Greenfield, миграции нет</t>
  </si>
  <si>
    <t>Обучение команды и найм</t>
  </si>
  <si>
    <t>Найм заморожен до декабря (А6)</t>
  </si>
  <si>
    <t>Резерв на непредвиденное (contingency)</t>
  </si>
  <si>
    <t>Расчёт: сумма блоков 1–5 × ставка резерва с листа «Допущения»</t>
  </si>
  <si>
    <t>ИТОГО прямые затраты (TCO без учёта простоев)</t>
  </si>
  <si>
    <t>БЛОК 6. Стоимость недоступности (риск)</t>
  </si>
  <si>
    <t>Ожидаемые потери из-за простоя при целевом SLO</t>
  </si>
  <si>
    <t>Расчёт: (1 - SLO года) × GMV года × пиковый коэффициент × переключатель. Замена $12k/мин: см. Допущения C22</t>
  </si>
  <si>
    <t>ИТОГО TCO с учётом стоимости простоя</t>
  </si>
  <si>
    <t>Коэффициент дисконтирования</t>
  </si>
  <si>
    <t>Дисконтированный TCO (NPV затрат)</t>
  </si>
  <si>
    <t>Ключевые метрики</t>
  </si>
  <si>
    <t>TCO за 5 лет, прямые затраты</t>
  </si>
  <si>
    <t>Основная цифра для сравнения вариантов в ADR</t>
  </si>
  <si>
    <t>TCO за 5 лет с учётом простоя</t>
  </si>
  <si>
    <t>Показывает цену недоступности для mission critical</t>
  </si>
  <si>
    <t>NPV затрат за 5 лет</t>
  </si>
  <si>
    <t>Затраты, приведённые к сегодняшнему дню</t>
  </si>
  <si>
    <t>Средние затраты в год</t>
  </si>
  <si>
    <t>Ориентир для планирования бюджета</t>
  </si>
  <si>
    <t>Облако, $/мес в Год 1</t>
  </si>
  <si>
    <t>Сравнивается с лимитом CFO</t>
  </si>
  <si>
    <t>Проверка бюджета CFO на Год 1</t>
  </si>
  <si>
    <t>Если превышение — объясни в ADR, чем жертвуешь</t>
  </si>
  <si>
    <t>Юнит-экономика: сколько ИТ стоит в одном заказе</t>
  </si>
  <si>
    <t>TCO на 1 активного пользователя (Год 5)</t>
  </si>
  <si>
    <t>Проверка масштабируемости модели</t>
  </si>
  <si>
    <t>Затраты ИТ как доля GMV за 5 лет</t>
  </si>
  <si>
    <t>Здоровый маркетплейс — единицы процентов</t>
  </si>
  <si>
    <t>Доля облачной инфраструктуры в TCO</t>
  </si>
  <si>
    <t>Обычно меньше, чем ожидают студенты</t>
  </si>
  <si>
    <t>Доля транзакционных расходов в TCO</t>
  </si>
  <si>
    <t>Растёт быстрее всего вместе с GMV</t>
  </si>
  <si>
    <t>Доля команды (ФОТ) в TCO</t>
  </si>
  <si>
    <t>Как правило, крупнейшая статья</t>
  </si>
  <si>
    <t>Вывод для ADR (заполнить текстом): какой вариант дешевле, за счёт чего, и какие допущения сильнее всего влияют на результат?</t>
  </si>
  <si>
    <t>V1 дешевле всех на горизонте 5 лет за счёт ФОТ: 6 человек вместо 9 и 16. Облако + SaaS в Год 1 укладывается в $5k/мес. Цена - более низкий SLO в Год 1-2. Переход на мультирегион и усиление SRE заложены с Год 3 по триггеру нагрузки.</t>
  </si>
  <si>
    <t>Облако + SaaS, $/мес в Год 1</t>
  </si>
  <si>
    <t>Лимит CFO $5k/мес включает SaaS и мониторинг (А6)</t>
  </si>
  <si>
    <t>Проверка лимита CFO с учётом SaaS</t>
  </si>
  <si>
    <t>Целевой SLO по годам (вход для блока 6)</t>
  </si>
  <si>
    <t>Заполняется по варианту. Блок 6 считает потери от GMV, а не от $12k/мин</t>
  </si>
  <si>
    <t>TCO на 5 лет - V2 Сервисная архитектура, 6-8 сервисов на managed Kubernetes</t>
  </si>
  <si>
    <t>EKS $73 + 6 нод m7g.large × $79 + ALB $36 + NAT $53 = $635/мес</t>
  </si>
  <si>
    <t>3 × RDS PostgreSQL db.t4g.large Multi-AZ с хранилищем = $810/мес</t>
  </si>
  <si>
    <t>S3: фото, бэкапы</t>
  </si>
  <si>
    <t>CloudFront Южная Африка, как в V1</t>
  </si>
  <si>
    <t>MSK 3 брокера kafka.m7g.large × $0,27/ч + 300 ГБ = $627/мес</t>
  </si>
  <si>
    <t>Warm standby: EKS + 2 ноды + 3 реплики db.t4g.medium во втором регионе = $431/мес</t>
  </si>
  <si>
    <t>Layer3 Лагос: 2 ВМ 4 vCPU / 8 ГБ + бэкап = $107/мес. Нода и хранилище ПДн</t>
  </si>
  <si>
    <t>Мультирегион с Год 3</t>
  </si>
  <si>
    <t>Копия кластера и БД во втором регионе с Год 3. Числа введены вручную</t>
  </si>
  <si>
    <t>Managed observability: метрики, логи, трейсы по 6-8 сервисам</t>
  </si>
  <si>
    <t>GitHub Team + Actions, реестр образов</t>
  </si>
  <si>
    <t>WAF, секреты, политики кластера</t>
  </si>
  <si>
    <t>7 разработчиков × $60k</t>
  </si>
  <si>
    <t>2 SRE: кластер, Kafka, сеть</t>
  </si>
  <si>
    <t>Ротация дежурств 24/7</t>
  </si>
  <si>
    <t>CTO и SA, доля на платформу</t>
  </si>
  <si>
    <t>+1 SRE при мультирегионе. Числа введены вручную</t>
  </si>
  <si>
    <t>Регистрация NDPC, DPO, аудит. Далее ежегодный аудит $10k (А3)</t>
  </si>
  <si>
    <t>Ежегодный пентест, поверхность шире</t>
  </si>
  <si>
    <t>Найм 3 контракторов сверх заморозки (А6). Только Год 1</t>
  </si>
  <si>
    <t>V2 дороже V1 за счёт 3 дополнительных людей и кластера. Облако + SaaS в Год 1 укладывается в $5k/мес, но запас вдвое меньше, чем у V1. Выигрыш в доступности Год 1-2 не окупает разницу в ФОТ на объёмах пилота.</t>
  </si>
  <si>
    <t>TCO на 5 лет - V3 Микросервисы по письму CTO: 40-50 сервисов, 3 кластера, Istio, Kafka, Oracle</t>
  </si>
  <si>
    <t>EKS $73 + 15 нод m7g.large под 40-50 сервисов и Istio sidecars + ALB + NAT = $1 344/мес (А5)</t>
  </si>
  <si>
    <t>Oracle на 2 × r6i.xlarge $491 + PostgreSQL на 3 × m7g.large $236 + EBS gp3 $168 = $895/мес (А5)</t>
  </si>
  <si>
    <t>S3 1 ТБ + снапшоты EBS трёх кластеров = $60/мес</t>
  </si>
  <si>
    <t>Self-hosted Kafka: 6 брокеров m7g.large (3 × 2 региона) + EBS 1,2 ТБ = $600/мес (А5)</t>
  </si>
  <si>
    <t>Второй регион active-active: копия кластера и БД = $2 239/мес, RPO 0 (А5)</t>
  </si>
  <si>
    <t>Нигерия: 3 ВМ 8 vCPU / 32 ГБ у Layer3 = $554/мес. Нижняя граница: цены колокации не опубликованы (А5)</t>
  </si>
  <si>
    <t>Self-hosted Prometheus, Loki, Jaeger, Grafana: 3 × m7g.large + EBS 1 ТБ = $341/мес (А5)</t>
  </si>
  <si>
    <t>GitHub, ArgoCD, реестр образов</t>
  </si>
  <si>
    <t>Istio mTLS, Vault, WAF</t>
  </si>
  <si>
    <t>Поддержка Oracle EE</t>
  </si>
  <si>
    <t>Поддержка Oracle EE: 22% от лицензии в год</t>
  </si>
  <si>
    <t>12 разработчиков: ядро, своя логистика (4), платёжная оркестрация (2) (А5)</t>
  </si>
  <si>
    <t>4 платформенных инженера: multi-cluster, Istio, Kafka, Oracle DBA</t>
  </si>
  <si>
    <t>Выделенная ротация 24/7 на трёх кластерах</t>
  </si>
  <si>
    <t>Ежегодный пентест, 40-50 сервисов и mesh</t>
  </si>
  <si>
    <t>Найм 10 инженеров сверх заморозки, обучение Istio и Kafka. Только Год 1</t>
  </si>
  <si>
    <t>Лицензия Oracle EE</t>
  </si>
  <si>
    <t>Лицензия Oracle EE: 2 processor × $47 500 по прайс-листу. Только Год 1</t>
  </si>
  <si>
    <t>V3 самый дорогой: ФОТ 16 человек против 6, облако + SaaS в Год 1 выше лимита CFO, лицензия Oracle. Ниже ожидаемые потери от простоя, но разница не покрывает перерасход. Запуск 15.10 невозможен: только логистика по оценке CTO занимает 6 месяцев (А5).</t>
  </si>
  <si>
    <t>1. Драйверы бизнеса</t>
  </si>
  <si>
    <t>2. Финансовые допущения</t>
  </si>
  <si>
    <t>3. Индексы роста</t>
  </si>
  <si>
    <t>Сколько сверх V1 тратим в Год 1, если пришло 50k</t>
  </si>
  <si>
    <t>SLO по годам: строка 80 листов вариантов</t>
  </si>
  <si>
    <t>Относится только к V1</t>
  </si>
  <si>
    <t>(1 - SLO) × GMV × пиковый коэффициент 3</t>
  </si>
  <si>
    <t>(Разница затрат с резервом) / (разница минут простоя)</t>
  </si>
  <si>
    <t>Цены AWS af-south-1 и Layer3 (cloud-prices.md)</t>
  </si>
  <si>
    <t>Прямые затраты / GMV за 5 лет</t>
  </si>
  <si>
    <t>Мониторинг, CI, WAF, BSP WhatsApp. В V3 поддержка Oracle</t>
  </si>
  <si>
    <t>Все блоки, включая транзакционные</t>
  </si>
  <si>
    <t>Сравнение с лимитом на листе «Допущения»</t>
  </si>
  <si>
    <t>NDPC, DPO, пентест, найм сверх заморозки, лицензия Oracle в V3</t>
  </si>
  <si>
    <t>Только блок 1, без SaaS</t>
  </si>
  <si>
    <t>Переписывать систему не нужно: границы модулей заложены сразу</t>
  </si>
  <si>
    <t>Только для вариантов, которые не успевают к 15.10: V2 и V3</t>
  </si>
  <si>
    <t>Блок 4 / прямые затраты</t>
  </si>
  <si>
    <t>Переплата + реклама</t>
  </si>
  <si>
    <t>Блоки 1, 2, 4, 5 Год 1 × (1 + резерв 15%)</t>
  </si>
  <si>
    <t>Стоимость ошибки: построили на вырост (V2, V3), пришло 50k</t>
  </si>
  <si>
    <t>Год 1, блоки 1, 2, 4, 5 с резервом: вариант минус V1</t>
  </si>
  <si>
    <t>Год 1 без транзакционных, с резервом, $</t>
  </si>
  <si>
    <t>Переплата против V1 в Год 1, $</t>
  </si>
  <si>
    <t>-</t>
  </si>
  <si>
    <t>При какой цене минуты дорогой вариант окупает себя меньшим простоем, $/мин
Каждый вариант против V1. Инвестор: $12 000 (А1). Средний GMV в минуту: Год 1 $46, Год 5 $1 600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</si>
</sst>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.00;&quot;($&quot;#,##0.00\);\-"/>
    <numFmt numFmtId="165" formatCode="\$#,##0;&quot;($&quot;#,##0\);\-"/>
    <numFmt numFmtId="166" formatCode="0.0%"/>
    <numFmt numFmtId="167" formatCode="0.000%"/>
    <numFmt numFmtId="168" formatCode="0.000"/>
  </numFmts>
  <fonts count="15" x14ac:knownFonts="1">
    <font>
      <sz val="11"/>
      <color theme="1"/>
      <name val="Calibri"/>
      <scheme val="minor"/>
    </font>
    <font>
      <b/>
      <sz val="14"/>
      <color theme="1"/>
      <name val="Arial"/>
    </font>
    <font>
      <b/>
      <sz val="10"/>
      <color theme="1"/>
      <name val="Arial"/>
    </font>
    <font>
      <sz val="10"/>
      <color theme="1"/>
      <name val="Arial"/>
    </font>
    <font>
      <b/>
      <sz val="11"/>
      <color theme="1"/>
      <name val="Arial"/>
    </font>
    <font>
      <sz val="11"/>
      <color theme="1"/>
      <name val="Calibri"/>
    </font>
    <font>
      <i/>
      <sz val="9"/>
      <color rgb="FF808080"/>
      <name val="Arial"/>
    </font>
    <font>
      <b/>
      <sz val="11"/>
      <color rgb="FFFFFFFF"/>
      <name val="Arial"/>
    </font>
    <font>
      <b/>
      <sz val="10"/>
      <color rgb="FFC00000"/>
      <name val="Arial"/>
    </font>
    <font>
      <sz val="10"/>
      <color rgb="FF0000FF"/>
      <name val="Arial"/>
    </font>
    <font>
      <sz val="11"/>
      <color theme="1"/>
      <name val="Calibri"/>
      <scheme val="minor"/>
    </font>
    <font>
      <sz val="10"/>
      <color rgb="FF008000"/>
      <name val="Arial"/>
    </font>
    <font>
      <b/>
      <sz val="14"/>
      <name val="Calibri"/>
    </font>
    <font>
      <b/>
      <sz val="11"/>
      <color rgb="FFFFFFFF"/>
      <name val="Calibri"/>
    </font>
    <font>
      <sz val="10"/>
      <color theme="1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1F38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1"/>
  </cellStyleXfs>
  <cellXfs count="65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top" wrapText="1"/>
    </xf>
    <xf numFmtId="0" fontId="4" fillId="2" borderId="1" xfId="0" applyFont="1" applyFill="1"/>
    <xf numFmtId="0" fontId="5" fillId="2" borderId="1" xfId="0" applyFont="1" applyFill="1"/>
    <xf numFmtId="0" fontId="6" fillId="0" borderId="0" xfId="0" applyFont="1" applyBorder="1"/>
    <xf numFmtId="0" fontId="4" fillId="2" borderId="2" xfId="0" applyFont="1" applyFill="1" applyBorder="1"/>
    <xf numFmtId="0" fontId="5" fillId="2" borderId="2" xfId="0" applyFont="1" applyFill="1" applyBorder="1"/>
    <xf numFmtId="0" fontId="7" fillId="3" borderId="2" xfId="0" applyFont="1" applyFill="1" applyBorder="1" applyAlignment="1">
      <alignment horizontal="center" vertical="center" wrapText="1"/>
    </xf>
    <xf numFmtId="0" fontId="3" fillId="0" borderId="2" xfId="0" applyFont="1" applyBorder="1"/>
    <xf numFmtId="3" fontId="9" fillId="4" borderId="2" xfId="0" applyNumberFormat="1" applyFont="1" applyFill="1" applyBorder="1"/>
    <xf numFmtId="164" fontId="9" fillId="4" borderId="2" xfId="0" applyNumberFormat="1" applyFont="1" applyFill="1" applyBorder="1"/>
    <xf numFmtId="0" fontId="2" fillId="0" borderId="2" xfId="0" applyFont="1" applyBorder="1"/>
    <xf numFmtId="165" fontId="2" fillId="0" borderId="2" xfId="0" applyNumberFormat="1" applyFont="1" applyBorder="1"/>
    <xf numFmtId="0" fontId="9" fillId="4" borderId="2" xfId="0" applyFont="1" applyFill="1" applyBorder="1"/>
    <xf numFmtId="165" fontId="9" fillId="4" borderId="2" xfId="0" applyNumberFormat="1" applyFont="1" applyFill="1" applyBorder="1"/>
    <xf numFmtId="166" fontId="9" fillId="4" borderId="2" xfId="0" applyNumberFormat="1" applyFont="1" applyFill="1" applyBorder="1"/>
    <xf numFmtId="167" fontId="9" fillId="4" borderId="2" xfId="0" applyNumberFormat="1" applyFont="1" applyFill="1" applyBorder="1"/>
    <xf numFmtId="1" fontId="9" fillId="4" borderId="2" xfId="0" applyNumberFormat="1" applyFont="1" applyFill="1" applyBorder="1"/>
    <xf numFmtId="2" fontId="3" fillId="0" borderId="2" xfId="0" applyNumberFormat="1" applyFont="1" applyBorder="1"/>
    <xf numFmtId="165" fontId="3" fillId="0" borderId="2" xfId="0" applyNumberFormat="1" applyFont="1" applyBorder="1"/>
    <xf numFmtId="0" fontId="5" fillId="0" borderId="2" xfId="0" applyFont="1" applyBorder="1"/>
    <xf numFmtId="0" fontId="6" fillId="0" borderId="2" xfId="0" applyFont="1" applyBorder="1" applyAlignment="1">
      <alignment vertical="top" wrapText="1"/>
    </xf>
    <xf numFmtId="0" fontId="2" fillId="5" borderId="2" xfId="0" applyFont="1" applyFill="1" applyBorder="1"/>
    <xf numFmtId="0" fontId="5" fillId="5" borderId="2" xfId="0" applyFont="1" applyFill="1" applyBorder="1"/>
    <xf numFmtId="165" fontId="2" fillId="5" borderId="2" xfId="0" applyNumberFormat="1" applyFont="1" applyFill="1" applyBorder="1"/>
    <xf numFmtId="166" fontId="2" fillId="5" borderId="2" xfId="0" applyNumberFormat="1" applyFont="1" applyFill="1" applyBorder="1"/>
    <xf numFmtId="0" fontId="10" fillId="0" borderId="0" xfId="0" applyFont="1" applyBorder="1"/>
    <xf numFmtId="165" fontId="11" fillId="0" borderId="2" xfId="0" applyNumberFormat="1" applyFont="1" applyBorder="1"/>
    <xf numFmtId="168" fontId="11" fillId="0" borderId="2" xfId="0" applyNumberFormat="1" applyFont="1" applyBorder="1"/>
    <xf numFmtId="0" fontId="0" fillId="0" borderId="0" xfId="0" applyBorder="1"/>
    <xf numFmtId="0" fontId="6" fillId="0" borderId="0" xfId="0" applyFont="1" applyBorder="1" applyAlignment="1">
      <alignment vertical="top" wrapText="1"/>
    </xf>
    <xf numFmtId="0" fontId="12" fillId="0" borderId="0" xfId="0" applyFont="1" applyBorder="1"/>
    <xf numFmtId="0" fontId="13" fillId="7" borderId="0" xfId="0" applyFont="1" applyFill="1" applyBorder="1"/>
    <xf numFmtId="165" fontId="2" fillId="6" borderId="2" xfId="0" applyNumberFormat="1" applyFont="1" applyFill="1" applyBorder="1"/>
    <xf numFmtId="10" fontId="9" fillId="4" borderId="2" xfId="0" applyNumberFormat="1" applyFont="1" applyFill="1" applyBorder="1"/>
    <xf numFmtId="0" fontId="14" fillId="0" borderId="11" xfId="0" applyFont="1" applyBorder="1" applyAlignment="1">
      <alignment wrapText="1"/>
    </xf>
    <xf numFmtId="0" fontId="14" fillId="0" borderId="0" xfId="0" applyFont="1" applyBorder="1" applyAlignment="1">
      <alignment wrapText="1"/>
    </xf>
    <xf numFmtId="0" fontId="2" fillId="5" borderId="2" xfId="0" applyFont="1" applyFill="1" applyBorder="1" applyAlignment="1">
      <alignment wrapText="1"/>
    </xf>
    <xf numFmtId="3" fontId="14" fillId="0" borderId="11" xfId="0" applyNumberFormat="1" applyFont="1" applyBorder="1" applyAlignment="1">
      <alignment wrapText="1"/>
    </xf>
    <xf numFmtId="49" fontId="14" fillId="0" borderId="11" xfId="0" applyNumberFormat="1" applyFont="1" applyBorder="1" applyAlignment="1">
      <alignment wrapText="1"/>
    </xf>
    <xf numFmtId="2" fontId="14" fillId="0" borderId="11" xfId="0" applyNumberFormat="1" applyFont="1" applyBorder="1" applyAlignment="1">
      <alignment wrapText="1"/>
    </xf>
    <xf numFmtId="10" fontId="14" fillId="0" borderId="11" xfId="0" applyNumberFormat="1" applyFont="1" applyBorder="1" applyAlignment="1">
      <alignment wrapText="1"/>
    </xf>
    <xf numFmtId="166" fontId="14" fillId="0" borderId="11" xfId="0" applyNumberFormat="1" applyFont="1" applyBorder="1" applyAlignment="1">
      <alignment wrapText="1"/>
    </xf>
    <xf numFmtId="3" fontId="14" fillId="0" borderId="11" xfId="0" applyNumberFormat="1" applyFont="1" applyBorder="1" applyAlignment="1">
      <alignment horizontal="right" wrapText="1"/>
    </xf>
    <xf numFmtId="0" fontId="14" fillId="0" borderId="11" xfId="0" applyFont="1" applyBorder="1" applyAlignment="1">
      <alignment horizontal="right" wrapText="1"/>
    </xf>
    <xf numFmtId="0" fontId="8" fillId="0" borderId="1" xfId="0" applyFont="1" applyAlignment="1">
      <alignment vertical="top" wrapText="1"/>
    </xf>
    <xf numFmtId="0" fontId="0" fillId="0" borderId="0" xfId="0" applyBorder="1"/>
    <xf numFmtId="0" fontId="6" fillId="0" borderId="1" xfId="0" applyFont="1" applyAlignment="1">
      <alignment vertical="top" wrapText="1"/>
    </xf>
    <xf numFmtId="165" fontId="2" fillId="6" borderId="2" xfId="0" applyNumberFormat="1" applyFont="1" applyFill="1" applyBorder="1"/>
    <xf numFmtId="0" fontId="0" fillId="0" borderId="3" xfId="0" applyBorder="1"/>
    <xf numFmtId="0" fontId="9" fillId="4" borderId="2" xfId="0" applyFont="1" applyFill="1" applyBorder="1" applyAlignment="1">
      <alignment vertical="top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166" fontId="2" fillId="6" borderId="2" xfId="0" applyNumberFormat="1" applyFont="1" applyFill="1" applyBorder="1"/>
    <xf numFmtId="0" fontId="4" fillId="0" borderId="1" xfId="0" applyFont="1"/>
    <xf numFmtId="10" fontId="2" fillId="6" borderId="2" xfId="0" applyNumberFormat="1" applyFont="1" applyFill="1" applyBorder="1"/>
    <xf numFmtId="164" fontId="2" fillId="6" borderId="2" xfId="0" applyNumberFormat="1" applyFont="1" applyFill="1" applyBorder="1"/>
    <xf numFmtId="0" fontId="2" fillId="6" borderId="2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Z1000"/>
  <sheetViews>
    <sheetView showGridLines="0" workbookViewId="0">
      <selection activeCell="B24" sqref="B24"/>
    </sheetView>
  </sheetViews>
  <sheetFormatPr defaultColWidth="14.3984375" defaultRowHeight="15" customHeight="1" x14ac:dyDescent="0.45"/>
  <cols>
    <col min="1" max="1" width="3" style="31" customWidth="1"/>
    <col min="2" max="2" width="46" style="31" customWidth="1"/>
    <col min="3" max="3" width="78" style="31" customWidth="1"/>
    <col min="4" max="26" width="8.73046875" style="31" customWidth="1"/>
  </cols>
  <sheetData>
    <row r="2" spans="2:3" ht="17.649999999999999" x14ac:dyDescent="0.5">
      <c r="B2" s="1" t="s">
        <v>0</v>
      </c>
    </row>
    <row r="3" spans="2:3" ht="14.25" x14ac:dyDescent="0.45">
      <c r="B3" s="2"/>
      <c r="C3" s="3"/>
    </row>
    <row r="4" spans="2:3" ht="14.25" x14ac:dyDescent="0.45">
      <c r="B4" s="4" t="s">
        <v>1</v>
      </c>
      <c r="C4" s="5"/>
    </row>
    <row r="5" spans="2:3" ht="30" customHeight="1" x14ac:dyDescent="0.45">
      <c r="B5" s="2" t="s">
        <v>2</v>
      </c>
      <c r="C5" s="3" t="s">
        <v>3</v>
      </c>
    </row>
    <row r="6" spans="2:3" ht="30" customHeight="1" x14ac:dyDescent="0.45">
      <c r="B6" s="2" t="s">
        <v>4</v>
      </c>
      <c r="C6" s="3" t="s">
        <v>5</v>
      </c>
    </row>
    <row r="7" spans="2:3" ht="14.25" x14ac:dyDescent="0.45">
      <c r="B7" s="2"/>
      <c r="C7" s="3"/>
    </row>
    <row r="8" spans="2:3" ht="14.25" x14ac:dyDescent="0.45">
      <c r="B8" s="4" t="s">
        <v>6</v>
      </c>
      <c r="C8" s="5"/>
    </row>
    <row r="9" spans="2:3" ht="14.25" x14ac:dyDescent="0.45">
      <c r="B9" s="2" t="s">
        <v>7</v>
      </c>
      <c r="C9" s="3" t="s">
        <v>8</v>
      </c>
    </row>
    <row r="10" spans="2:3" ht="14.25" x14ac:dyDescent="0.45">
      <c r="B10" s="2" t="s">
        <v>9</v>
      </c>
      <c r="C10" s="3" t="s">
        <v>10</v>
      </c>
    </row>
    <row r="11" spans="2:3" ht="14.25" x14ac:dyDescent="0.45">
      <c r="B11" s="2" t="s">
        <v>11</v>
      </c>
      <c r="C11" s="3" t="s">
        <v>12</v>
      </c>
    </row>
    <row r="12" spans="2:3" ht="14.25" x14ac:dyDescent="0.45">
      <c r="B12" s="2"/>
      <c r="C12" s="3"/>
    </row>
    <row r="13" spans="2:3" ht="14.25" x14ac:dyDescent="0.45">
      <c r="B13" s="4" t="s">
        <v>13</v>
      </c>
      <c r="C13" s="5"/>
    </row>
    <row r="14" spans="2:3" ht="30" customHeight="1" x14ac:dyDescent="0.45">
      <c r="B14" s="2" t="s">
        <v>14</v>
      </c>
      <c r="C14" s="3" t="s">
        <v>15</v>
      </c>
    </row>
    <row r="15" spans="2:3" ht="30" customHeight="1" x14ac:dyDescent="0.45">
      <c r="B15" s="2" t="s">
        <v>16</v>
      </c>
      <c r="C15" s="3" t="s">
        <v>17</v>
      </c>
    </row>
    <row r="16" spans="2:3" ht="30" customHeight="1" x14ac:dyDescent="0.45">
      <c r="B16" s="2" t="s">
        <v>18</v>
      </c>
      <c r="C16" s="3" t="s">
        <v>19</v>
      </c>
    </row>
    <row r="17" spans="2:3" ht="30" customHeight="1" x14ac:dyDescent="0.45">
      <c r="B17" s="2" t="s">
        <v>20</v>
      </c>
      <c r="C17" s="3" t="s">
        <v>21</v>
      </c>
    </row>
    <row r="18" spans="2:3" ht="30" customHeight="1" x14ac:dyDescent="0.45">
      <c r="B18" s="2" t="s">
        <v>22</v>
      </c>
      <c r="C18" s="3" t="s">
        <v>23</v>
      </c>
    </row>
    <row r="19" spans="2:3" ht="14.25" x14ac:dyDescent="0.45">
      <c r="B19" s="2"/>
      <c r="C19" s="3"/>
    </row>
    <row r="20" spans="2:3" ht="14.25" x14ac:dyDescent="0.45">
      <c r="B20" s="4" t="s">
        <v>24</v>
      </c>
      <c r="C20" s="5"/>
    </row>
    <row r="21" spans="2:3" ht="30" customHeight="1" x14ac:dyDescent="0.45">
      <c r="B21" s="2" t="s">
        <v>25</v>
      </c>
      <c r="C21" s="3" t="s">
        <v>26</v>
      </c>
    </row>
    <row r="22" spans="2:3" ht="30" customHeight="1" x14ac:dyDescent="0.45">
      <c r="B22" s="2" t="s">
        <v>27</v>
      </c>
      <c r="C22" s="3" t="s">
        <v>28</v>
      </c>
    </row>
    <row r="23" spans="2:3" ht="30" customHeight="1" x14ac:dyDescent="0.45">
      <c r="B23" s="2" t="s">
        <v>29</v>
      </c>
      <c r="C23" s="3" t="s">
        <v>30</v>
      </c>
    </row>
    <row r="24" spans="2:3" ht="30" customHeight="1" x14ac:dyDescent="0.45">
      <c r="B24" s="2" t="s">
        <v>31</v>
      </c>
      <c r="C24" s="3" t="s">
        <v>32</v>
      </c>
    </row>
    <row r="25" spans="2:3" ht="30" customHeight="1" x14ac:dyDescent="0.45">
      <c r="B25" s="2" t="s">
        <v>33</v>
      </c>
      <c r="C25" s="3" t="s">
        <v>34</v>
      </c>
    </row>
    <row r="26" spans="2:3" ht="30" customHeight="1" x14ac:dyDescent="0.45">
      <c r="B26" s="2" t="s">
        <v>35</v>
      </c>
      <c r="C26" s="3" t="s">
        <v>36</v>
      </c>
    </row>
    <row r="27" spans="2:3" ht="15.75" customHeight="1" x14ac:dyDescent="0.45">
      <c r="B27" s="2"/>
      <c r="C27" s="3"/>
    </row>
    <row r="28" spans="2:3" ht="30" customHeight="1" x14ac:dyDescent="0.45">
      <c r="B28" s="47" t="s">
        <v>37</v>
      </c>
      <c r="C28" s="48"/>
    </row>
    <row r="29" spans="2:3" ht="15.75" customHeight="1" x14ac:dyDescent="0.45"/>
    <row r="30" spans="2:3" ht="15.75" customHeight="1" x14ac:dyDescent="0.45"/>
    <row r="31" spans="2:3" ht="15.75" customHeight="1" x14ac:dyDescent="0.45"/>
    <row r="32" spans="2:3" ht="15.75" customHeight="1" x14ac:dyDescent="0.45"/>
    <row r="33" ht="15.75" customHeight="1" x14ac:dyDescent="0.45"/>
    <row r="34" ht="15.75" customHeight="1" x14ac:dyDescent="0.45"/>
    <row r="35" ht="15.75" customHeight="1" x14ac:dyDescent="0.45"/>
    <row r="36" ht="15.75" customHeight="1" x14ac:dyDescent="0.45"/>
    <row r="37" ht="15.75" customHeight="1" x14ac:dyDescent="0.45"/>
    <row r="38" ht="15.75" customHeight="1" x14ac:dyDescent="0.45"/>
    <row r="39" ht="15.75" customHeight="1" x14ac:dyDescent="0.45"/>
    <row r="40" ht="15.75" customHeight="1" x14ac:dyDescent="0.45"/>
    <row r="41" ht="15.75" customHeight="1" x14ac:dyDescent="0.45"/>
    <row r="42" ht="15.75" customHeight="1" x14ac:dyDescent="0.45"/>
    <row r="43" ht="15.75" customHeight="1" x14ac:dyDescent="0.45"/>
    <row r="44" ht="15.75" customHeight="1" x14ac:dyDescent="0.45"/>
    <row r="45" ht="15.75" customHeight="1" x14ac:dyDescent="0.45"/>
    <row r="46" ht="15.75" customHeight="1" x14ac:dyDescent="0.45"/>
    <row r="47" ht="15.75" customHeight="1" x14ac:dyDescent="0.45"/>
    <row r="4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">
    <mergeCell ref="B28:C28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Z1000"/>
  <sheetViews>
    <sheetView showGridLines="0" workbookViewId="0">
      <pane xSplit="2" ySplit="6" topLeftCell="C15" activePane="bottomRight" state="frozen"/>
      <selection pane="topRight" activeCell="C1" sqref="C1"/>
      <selection pane="bottomLeft" activeCell="A7" sqref="A7"/>
      <selection pane="bottomRight" activeCell="C27" sqref="C27"/>
    </sheetView>
  </sheetViews>
  <sheetFormatPr defaultColWidth="14.3984375" defaultRowHeight="15" customHeight="1" x14ac:dyDescent="0.45"/>
  <cols>
    <col min="1" max="1" width="3" style="31" customWidth="1"/>
    <col min="2" max="2" width="42" style="31" customWidth="1"/>
    <col min="3" max="7" width="15" style="31" customWidth="1"/>
    <col min="8" max="8" width="52" style="31" customWidth="1"/>
    <col min="9" max="26" width="8.73046875" style="31" customWidth="1"/>
  </cols>
  <sheetData>
    <row r="2" spans="2:8" ht="17.649999999999999" x14ac:dyDescent="0.5">
      <c r="B2" s="1" t="s">
        <v>76</v>
      </c>
    </row>
    <row r="3" spans="2:8" ht="14.25" x14ac:dyDescent="0.45">
      <c r="B3" s="6" t="s">
        <v>77</v>
      </c>
    </row>
    <row r="5" spans="2:8" ht="14.25" x14ac:dyDescent="0.45">
      <c r="B5" s="7" t="s">
        <v>276</v>
      </c>
      <c r="C5" s="8"/>
      <c r="D5" s="8"/>
      <c r="E5" s="8"/>
      <c r="F5" s="8"/>
      <c r="G5" s="8"/>
      <c r="H5" s="8"/>
    </row>
    <row r="6" spans="2:8" ht="14.25" x14ac:dyDescent="0.45">
      <c r="B6" s="9" t="s">
        <v>78</v>
      </c>
      <c r="C6" s="9" t="s">
        <v>79</v>
      </c>
      <c r="D6" s="9" t="s">
        <v>80</v>
      </c>
      <c r="E6" s="9" t="s">
        <v>81</v>
      </c>
      <c r="F6" s="9" t="s">
        <v>82</v>
      </c>
      <c r="G6" s="9" t="s">
        <v>83</v>
      </c>
      <c r="H6" s="9" t="s">
        <v>84</v>
      </c>
    </row>
    <row r="7" spans="2:8" ht="23.25" x14ac:dyDescent="0.45">
      <c r="B7" s="10" t="s">
        <v>85</v>
      </c>
      <c r="C7" s="11">
        <v>1000000</v>
      </c>
      <c r="D7" s="11">
        <v>2500000</v>
      </c>
      <c r="E7" s="11">
        <v>5000000</v>
      </c>
      <c r="F7" s="11">
        <v>7000000</v>
      </c>
      <c r="G7" s="11">
        <v>9000000</v>
      </c>
      <c r="H7" s="32" t="s">
        <v>86</v>
      </c>
    </row>
    <row r="8" spans="2:8" ht="23.25" x14ac:dyDescent="0.45">
      <c r="B8" s="10" t="s">
        <v>87</v>
      </c>
      <c r="C8" s="11">
        <v>1200000</v>
      </c>
      <c r="D8" s="11">
        <v>6000000</v>
      </c>
      <c r="E8" s="11">
        <v>15000000</v>
      </c>
      <c r="F8" s="11">
        <v>25000000</v>
      </c>
      <c r="G8" s="11">
        <v>35000000</v>
      </c>
      <c r="H8" s="32" t="s">
        <v>88</v>
      </c>
    </row>
    <row r="9" spans="2:8" ht="14.25" x14ac:dyDescent="0.45">
      <c r="B9" s="10" t="s">
        <v>89</v>
      </c>
      <c r="C9" s="12">
        <v>20</v>
      </c>
      <c r="D9" s="12">
        <v>21</v>
      </c>
      <c r="E9" s="12">
        <v>22</v>
      </c>
      <c r="F9" s="12">
        <v>23</v>
      </c>
      <c r="G9" s="12">
        <v>24</v>
      </c>
      <c r="H9" s="32" t="s">
        <v>90</v>
      </c>
    </row>
    <row r="10" spans="2:8" ht="14.25" x14ac:dyDescent="0.45">
      <c r="B10" s="13" t="s">
        <v>91</v>
      </c>
      <c r="C10" s="14">
        <f>C8*C9</f>
        <v>24000000</v>
      </c>
      <c r="D10" s="14">
        <f>D8*D9</f>
        <v>126000000</v>
      </c>
      <c r="E10" s="14">
        <f>E8*E9</f>
        <v>330000000</v>
      </c>
      <c r="F10" s="14">
        <f>F8*F9</f>
        <v>575000000</v>
      </c>
      <c r="G10" s="14">
        <f>G8*G9</f>
        <v>840000000</v>
      </c>
      <c r="H10" s="32" t="s">
        <v>92</v>
      </c>
    </row>
    <row r="12" spans="2:8" ht="14.25" x14ac:dyDescent="0.45">
      <c r="B12" s="7" t="s">
        <v>277</v>
      </c>
      <c r="C12" s="8"/>
      <c r="D12" s="8"/>
      <c r="E12" s="8"/>
      <c r="F12" s="8"/>
      <c r="G12" s="8"/>
      <c r="H12" s="8"/>
    </row>
    <row r="13" spans="2:8" ht="14.25" x14ac:dyDescent="0.45">
      <c r="B13" s="9" t="s">
        <v>93</v>
      </c>
      <c r="C13" s="9" t="s">
        <v>94</v>
      </c>
      <c r="D13" s="9"/>
      <c r="E13" s="9"/>
      <c r="F13" s="9"/>
      <c r="G13" s="9"/>
      <c r="H13" s="9" t="s">
        <v>84</v>
      </c>
    </row>
    <row r="14" spans="2:8" ht="14.25" x14ac:dyDescent="0.45">
      <c r="B14" s="10" t="s">
        <v>95</v>
      </c>
      <c r="C14" s="17">
        <v>0.08</v>
      </c>
      <c r="H14" s="32" t="s">
        <v>96</v>
      </c>
    </row>
    <row r="15" spans="2:8" ht="14.25" x14ac:dyDescent="0.45">
      <c r="B15" s="10" t="s">
        <v>97</v>
      </c>
      <c r="C15" s="17">
        <v>0.1</v>
      </c>
      <c r="H15" s="32" t="s">
        <v>98</v>
      </c>
    </row>
    <row r="16" spans="2:8" ht="14.25" x14ac:dyDescent="0.45">
      <c r="B16" s="10" t="s">
        <v>99</v>
      </c>
      <c r="C16" s="17">
        <v>0.25</v>
      </c>
      <c r="H16" s="32" t="s">
        <v>100</v>
      </c>
    </row>
    <row r="17" spans="2:8" ht="14.25" x14ac:dyDescent="0.45">
      <c r="B17" s="10" t="s">
        <v>101</v>
      </c>
      <c r="C17" s="17">
        <v>0.15</v>
      </c>
      <c r="H17" s="32" t="s">
        <v>102</v>
      </c>
    </row>
    <row r="18" spans="2:8" ht="23.25" x14ac:dyDescent="0.45">
      <c r="B18" s="10" t="s">
        <v>103</v>
      </c>
      <c r="C18" s="16">
        <v>5000</v>
      </c>
      <c r="H18" s="32" t="s">
        <v>104</v>
      </c>
    </row>
    <row r="19" spans="2:8" ht="23.25" x14ac:dyDescent="0.45">
      <c r="B19" s="10" t="s">
        <v>105</v>
      </c>
      <c r="C19" s="16">
        <v>12000</v>
      </c>
      <c r="H19" s="32" t="s">
        <v>106</v>
      </c>
    </row>
    <row r="20" spans="2:8" ht="23.25" x14ac:dyDescent="0.45">
      <c r="B20" s="10" t="s">
        <v>107</v>
      </c>
      <c r="C20" s="18">
        <v>0.99990000000000001</v>
      </c>
      <c r="H20" s="32" t="s">
        <v>108</v>
      </c>
    </row>
    <row r="21" spans="2:8" ht="15.75" customHeight="1" x14ac:dyDescent="0.45">
      <c r="B21" s="10" t="s">
        <v>109</v>
      </c>
      <c r="C21" s="19">
        <v>1</v>
      </c>
      <c r="H21" s="32" t="s">
        <v>110</v>
      </c>
    </row>
    <row r="22" spans="2:8" ht="15.75" customHeight="1" x14ac:dyDescent="0.45">
      <c r="B22" t="s">
        <v>111</v>
      </c>
      <c r="C22" s="19">
        <v>3</v>
      </c>
      <c r="H22" t="s">
        <v>112</v>
      </c>
    </row>
    <row r="23" spans="2:8" ht="15.75" customHeight="1" x14ac:dyDescent="0.45">
      <c r="B23" s="7" t="s">
        <v>278</v>
      </c>
      <c r="C23" s="8"/>
      <c r="D23" s="8"/>
      <c r="E23" s="8"/>
      <c r="F23" s="8"/>
      <c r="G23" s="8"/>
      <c r="H23" s="8"/>
    </row>
    <row r="24" spans="2:8" ht="15.75" customHeight="1" x14ac:dyDescent="0.45">
      <c r="B24" s="9" t="s">
        <v>113</v>
      </c>
      <c r="C24" s="9" t="s">
        <v>79</v>
      </c>
      <c r="D24" s="9" t="s">
        <v>80</v>
      </c>
      <c r="E24" s="9" t="s">
        <v>81</v>
      </c>
      <c r="F24" s="9" t="s">
        <v>82</v>
      </c>
      <c r="G24" s="9" t="s">
        <v>83</v>
      </c>
      <c r="H24" s="9" t="s">
        <v>114</v>
      </c>
    </row>
    <row r="25" spans="2:8" ht="15.75" customHeight="1" x14ac:dyDescent="0.45">
      <c r="B25" s="10" t="s">
        <v>115</v>
      </c>
      <c r="C25" s="20">
        <v>1</v>
      </c>
      <c r="D25" s="20">
        <v>1</v>
      </c>
      <c r="E25" s="20">
        <v>1</v>
      </c>
      <c r="F25" s="20">
        <v>1</v>
      </c>
      <c r="G25" s="20">
        <v>1</v>
      </c>
      <c r="H25" s="32" t="s">
        <v>116</v>
      </c>
    </row>
    <row r="26" spans="2:8" ht="15.75" customHeight="1" x14ac:dyDescent="0.45">
      <c r="B26" s="10" t="s">
        <v>117</v>
      </c>
      <c r="C26" s="20">
        <v>1</v>
      </c>
      <c r="D26" s="20">
        <f>C26*(1+$C$14)</f>
        <v>1.08</v>
      </c>
      <c r="E26" s="20">
        <f>D26*(1+$C$14)</f>
        <v>1.1664000000000001</v>
      </c>
      <c r="F26" s="20">
        <f>E26*(1+$C$14)</f>
        <v>1.2597120000000002</v>
      </c>
      <c r="G26" s="20">
        <f>F26*(1+$C$14)</f>
        <v>1.3604889600000003</v>
      </c>
      <c r="H26" s="32" t="s">
        <v>118</v>
      </c>
    </row>
    <row r="27" spans="2:8" ht="15.75" customHeight="1" x14ac:dyDescent="0.45">
      <c r="B27" s="10" t="s">
        <v>119</v>
      </c>
      <c r="C27" s="20">
        <v>1</v>
      </c>
      <c r="D27" s="20">
        <f>C27*(1+$C$15)</f>
        <v>1.1000000000000001</v>
      </c>
      <c r="E27" s="20">
        <f>D27*(1+$C$15)</f>
        <v>1.2100000000000002</v>
      </c>
      <c r="F27" s="20">
        <f>E27*(1+$C$15)</f>
        <v>1.3310000000000004</v>
      </c>
      <c r="G27" s="20">
        <f>F27*(1+$C$15)</f>
        <v>1.4641000000000006</v>
      </c>
      <c r="H27" s="32" t="s">
        <v>120</v>
      </c>
    </row>
    <row r="28" spans="2:8" ht="15.75" customHeight="1" x14ac:dyDescent="0.45">
      <c r="B28" s="10" t="s">
        <v>121</v>
      </c>
      <c r="C28" s="20">
        <f>C7/$C$7</f>
        <v>1</v>
      </c>
      <c r="D28" s="20">
        <f>D7/$C$7</f>
        <v>2.5</v>
      </c>
      <c r="E28" s="20">
        <f>E7/$C$7</f>
        <v>5</v>
      </c>
      <c r="F28" s="20">
        <f>F7/$C$7</f>
        <v>7</v>
      </c>
      <c r="G28" s="20">
        <f>G7/$C$7</f>
        <v>9</v>
      </c>
      <c r="H28" s="32" t="s">
        <v>122</v>
      </c>
    </row>
    <row r="29" spans="2:8" ht="15.75" customHeight="1" x14ac:dyDescent="0.45">
      <c r="B29" s="10" t="s">
        <v>123</v>
      </c>
      <c r="C29" s="20">
        <f>C8/$C$8</f>
        <v>1</v>
      </c>
      <c r="D29" s="20">
        <f>D8/$C$8</f>
        <v>5</v>
      </c>
      <c r="E29" s="20">
        <f>E8/$C$8</f>
        <v>12.5</v>
      </c>
      <c r="F29" s="20">
        <f>F8/$C$8</f>
        <v>20.833333333333332</v>
      </c>
      <c r="G29" s="20">
        <f>G8/$C$8</f>
        <v>29.166666666666668</v>
      </c>
      <c r="H29" s="32" t="s">
        <v>124</v>
      </c>
    </row>
    <row r="30" spans="2:8" ht="15.75" customHeight="1" x14ac:dyDescent="0.45">
      <c r="B30" s="10" t="s">
        <v>125</v>
      </c>
      <c r="C30" s="20">
        <f>C10/$C$10</f>
        <v>1</v>
      </c>
      <c r="D30" s="20">
        <f>D10/$C$10</f>
        <v>5.25</v>
      </c>
      <c r="E30" s="20">
        <f>E10/$C$10</f>
        <v>13.75</v>
      </c>
      <c r="F30" s="20">
        <f>F10/$C$10</f>
        <v>23.958333333333332</v>
      </c>
      <c r="G30" s="20">
        <f>G10/$C$10</f>
        <v>35</v>
      </c>
      <c r="H30" s="32" t="s">
        <v>126</v>
      </c>
    </row>
    <row r="31" spans="2:8" ht="15.75" customHeight="1" x14ac:dyDescent="0.45"/>
    <row r="32" spans="2:8" ht="15" customHeight="1" x14ac:dyDescent="0.45">
      <c r="B32" s="49" t="s">
        <v>127</v>
      </c>
      <c r="C32" s="48"/>
      <c r="D32" s="48"/>
      <c r="E32" s="48"/>
      <c r="F32" s="48"/>
      <c r="G32" s="48"/>
      <c r="H32" s="48"/>
    </row>
    <row r="33" spans="2:8" ht="15.75" customHeight="1" x14ac:dyDescent="0.45">
      <c r="B33" s="48"/>
      <c r="C33" s="48"/>
      <c r="D33" s="48"/>
      <c r="E33" s="48"/>
      <c r="F33" s="48"/>
      <c r="G33" s="48"/>
      <c r="H33" s="48"/>
    </row>
    <row r="34" spans="2:8" ht="15.75" customHeight="1" x14ac:dyDescent="0.45"/>
    <row r="35" spans="2:8" ht="15.75" customHeight="1" x14ac:dyDescent="0.45"/>
    <row r="36" spans="2:8" ht="15.75" customHeight="1" x14ac:dyDescent="0.45"/>
    <row r="37" spans="2:8" ht="15.75" customHeight="1" x14ac:dyDescent="0.45"/>
    <row r="38" spans="2:8" ht="15.75" customHeight="1" x14ac:dyDescent="0.45"/>
    <row r="39" spans="2:8" ht="15.75" customHeight="1" x14ac:dyDescent="0.45"/>
    <row r="40" spans="2:8" ht="15.75" customHeight="1" x14ac:dyDescent="0.45"/>
    <row r="41" spans="2:8" ht="15.75" customHeight="1" x14ac:dyDescent="0.45"/>
    <row r="42" spans="2:8" ht="15.75" customHeight="1" x14ac:dyDescent="0.45"/>
    <row r="43" spans="2:8" ht="15.75" customHeight="1" x14ac:dyDescent="0.45"/>
    <row r="44" spans="2:8" ht="15.75" customHeight="1" x14ac:dyDescent="0.45"/>
    <row r="45" spans="2:8" ht="15.75" customHeight="1" x14ac:dyDescent="0.45"/>
    <row r="46" spans="2:8" ht="15.75" customHeight="1" x14ac:dyDescent="0.45"/>
    <row r="47" spans="2:8" ht="15.75" customHeight="1" x14ac:dyDescent="0.45"/>
    <row r="48" spans="2:8" ht="15.75" customHeight="1" x14ac:dyDescent="0.45"/>
    <row r="49" ht="15.75" customHeight="1" x14ac:dyDescent="0.45"/>
    <row r="50" ht="15.75" customHeight="1" x14ac:dyDescent="0.45"/>
    <row r="51" ht="15.75" customHeight="1" x14ac:dyDescent="0.45"/>
    <row r="52" ht="15.75" customHeight="1" x14ac:dyDescent="0.45"/>
    <row r="53" ht="15.75" customHeight="1" x14ac:dyDescent="0.45"/>
    <row r="54" ht="15.75" customHeight="1" x14ac:dyDescent="0.45"/>
    <row r="55" ht="15.75" customHeight="1" x14ac:dyDescent="0.45"/>
    <row r="56" ht="15.75" customHeight="1" x14ac:dyDescent="0.45"/>
    <row r="57" ht="15.75" customHeight="1" x14ac:dyDescent="0.45"/>
    <row r="58" ht="15.75" customHeight="1" x14ac:dyDescent="0.45"/>
    <row r="59" ht="15.75" customHeight="1" x14ac:dyDescent="0.45"/>
    <row r="60" ht="15.75" customHeight="1" x14ac:dyDescent="0.45"/>
    <row r="61" ht="15.75" customHeight="1" x14ac:dyDescent="0.45"/>
    <row r="62" ht="15.75" customHeight="1" x14ac:dyDescent="0.45"/>
    <row r="63" ht="15.75" customHeight="1" x14ac:dyDescent="0.45"/>
    <row r="64" ht="15.75" customHeight="1" x14ac:dyDescent="0.45"/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">
    <mergeCell ref="B32:H33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>
      <pane xSplit="2" ySplit="5" topLeftCell="C62" activePane="bottomRight" state="frozen"/>
      <selection pane="topRight" activeCell="C1" sqref="C1"/>
      <selection pane="bottomLeft" activeCell="A6" sqref="A6"/>
      <selection pane="bottomRight" activeCell="B40" sqref="B40"/>
    </sheetView>
  </sheetViews>
  <sheetFormatPr defaultColWidth="14.3984375" defaultRowHeight="15" customHeight="1" x14ac:dyDescent="0.45"/>
  <cols>
    <col min="1" max="1" width="3" style="31" customWidth="1"/>
    <col min="2" max="2" width="44" style="31" customWidth="1"/>
    <col min="3" max="3" width="16" style="31" customWidth="1"/>
    <col min="4" max="4" width="15" style="31" customWidth="1"/>
    <col min="5" max="10" width="14" style="31" customWidth="1"/>
    <col min="11" max="11" width="10" style="31" customWidth="1"/>
    <col min="12" max="12" width="46" style="31" customWidth="1"/>
    <col min="13" max="26" width="8.73046875" style="31" customWidth="1"/>
  </cols>
  <sheetData>
    <row r="1" spans="2:12" ht="14.25" x14ac:dyDescent="0.45"/>
    <row r="2" spans="2:12" ht="17.649999999999999" x14ac:dyDescent="0.5">
      <c r="B2" s="1" t="s">
        <v>128</v>
      </c>
    </row>
    <row r="3" spans="2:12" ht="14.25" x14ac:dyDescent="0.45">
      <c r="B3" s="6" t="s">
        <v>129</v>
      </c>
    </row>
    <row r="4" spans="2:12" ht="14.25" x14ac:dyDescent="0.45"/>
    <row r="5" spans="2:12" ht="31.5" customHeight="1" x14ac:dyDescent="0.45">
      <c r="B5" s="9" t="s">
        <v>130</v>
      </c>
      <c r="C5" s="9" t="s">
        <v>131</v>
      </c>
      <c r="D5" s="9" t="s">
        <v>132</v>
      </c>
      <c r="E5" s="9" t="s">
        <v>79</v>
      </c>
      <c r="F5" s="9" t="s">
        <v>80</v>
      </c>
      <c r="G5" s="9" t="s">
        <v>81</v>
      </c>
      <c r="H5" s="9" t="s">
        <v>82</v>
      </c>
      <c r="I5" s="9" t="s">
        <v>83</v>
      </c>
      <c r="J5" s="9" t="s">
        <v>133</v>
      </c>
      <c r="K5" s="9" t="s">
        <v>134</v>
      </c>
      <c r="L5" s="9" t="s">
        <v>84</v>
      </c>
    </row>
    <row r="6" spans="2:12" ht="14.25" x14ac:dyDescent="0.45">
      <c r="B6" s="7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ht="23.25" x14ac:dyDescent="0.45">
      <c r="B7" s="10" t="s">
        <v>136</v>
      </c>
      <c r="C7" s="15" t="s">
        <v>121</v>
      </c>
      <c r="D7" s="16">
        <v>2900</v>
      </c>
      <c r="E7" s="21">
        <f>IF($D7="","",$D7*INDEX(Допущения!$C$25:$G$30,MATCH($C7,Допущения!$B$25:$B$30,0),1))</f>
        <v>2900</v>
      </c>
      <c r="F7" s="21">
        <f>IF($D7="","",$D7*INDEX(Допущения!$C$25:$G$30,MATCH($C7,Допущения!$B$25:$B$30,0),2))</f>
        <v>7250</v>
      </c>
      <c r="G7" s="21">
        <f>IF($D7="","",$D7*INDEX(Допущения!$C$25:$G$30,MATCH($C7,Допущения!$B$25:$B$30,0),3))</f>
        <v>14500</v>
      </c>
      <c r="H7" s="21">
        <f>IF($D7="","",$D7*INDEX(Допущения!$C$25:$G$30,MATCH($C7,Допущения!$B$25:$B$30,0),4))</f>
        <v>20300</v>
      </c>
      <c r="I7" s="21">
        <f>IF($D7="","",$D7*INDEX(Допущения!$C$25:$G$30,MATCH($C7,Допущения!$B$25:$B$30,0),5))</f>
        <v>26100</v>
      </c>
      <c r="J7" s="21">
        <f t="shared" ref="J7:J14" si="0">SUM(E7:I7)</f>
        <v>71050</v>
      </c>
      <c r="K7" s="22"/>
      <c r="L7" s="23" t="s">
        <v>137</v>
      </c>
    </row>
    <row r="8" spans="2:12" ht="23.25" x14ac:dyDescent="0.45">
      <c r="B8" s="10" t="s">
        <v>138</v>
      </c>
      <c r="C8" s="15" t="s">
        <v>121</v>
      </c>
      <c r="D8" s="16">
        <v>3200</v>
      </c>
      <c r="E8" s="21">
        <f>IF($D8="","",$D8*INDEX(Допущения!$C$25:$G$30,MATCH($C8,Допущения!$B$25:$B$30,0),1))</f>
        <v>3200</v>
      </c>
      <c r="F8" s="21">
        <f>IF($D8="","",$D8*INDEX(Допущения!$C$25:$G$30,MATCH($C8,Допущения!$B$25:$B$30,0),2))</f>
        <v>8000</v>
      </c>
      <c r="G8" s="21">
        <f>IF($D8="","",$D8*INDEX(Допущения!$C$25:$G$30,MATCH($C8,Допущения!$B$25:$B$30,0),3))</f>
        <v>16000</v>
      </c>
      <c r="H8" s="21">
        <f>IF($D8="","",$D8*INDEX(Допущения!$C$25:$G$30,MATCH($C8,Допущения!$B$25:$B$30,0),4))</f>
        <v>22400</v>
      </c>
      <c r="I8" s="21">
        <f>IF($D8="","",$D8*INDEX(Допущения!$C$25:$G$30,MATCH($C8,Допущения!$B$25:$B$30,0),5))</f>
        <v>28800</v>
      </c>
      <c r="J8" s="21">
        <f t="shared" si="0"/>
        <v>78400</v>
      </c>
      <c r="K8" s="22"/>
      <c r="L8" s="23" t="s">
        <v>139</v>
      </c>
    </row>
    <row r="9" spans="2:12" ht="23.25" x14ac:dyDescent="0.45">
      <c r="B9" s="10" t="s">
        <v>140</v>
      </c>
      <c r="C9" s="15" t="s">
        <v>121</v>
      </c>
      <c r="D9" s="16">
        <v>200</v>
      </c>
      <c r="E9" s="21">
        <f>IF($D9="","",$D9*INDEX(Допущения!$C$25:$G$30,MATCH($C9,Допущения!$B$25:$B$30,0),1))</f>
        <v>200</v>
      </c>
      <c r="F9" s="21">
        <f>IF($D9="","",$D9*INDEX(Допущения!$C$25:$G$30,MATCH($C9,Допущения!$B$25:$B$30,0),2))</f>
        <v>500</v>
      </c>
      <c r="G9" s="21">
        <f>IF($D9="","",$D9*INDEX(Допущения!$C$25:$G$30,MATCH($C9,Допущения!$B$25:$B$30,0),3))</f>
        <v>1000</v>
      </c>
      <c r="H9" s="21">
        <f>IF($D9="","",$D9*INDEX(Допущения!$C$25:$G$30,MATCH($C9,Допущения!$B$25:$B$30,0),4))</f>
        <v>1400</v>
      </c>
      <c r="I9" s="21">
        <f>IF($D9="","",$D9*INDEX(Допущения!$C$25:$G$30,MATCH($C9,Допущения!$B$25:$B$30,0),5))</f>
        <v>1800</v>
      </c>
      <c r="J9" s="21">
        <f t="shared" si="0"/>
        <v>4900</v>
      </c>
      <c r="K9" s="22"/>
      <c r="L9" s="23" t="s">
        <v>141</v>
      </c>
    </row>
    <row r="10" spans="2:12" ht="23.25" x14ac:dyDescent="0.45">
      <c r="B10" s="10" t="s">
        <v>142</v>
      </c>
      <c r="C10" s="15" t="s">
        <v>121</v>
      </c>
      <c r="D10" s="16">
        <v>3200</v>
      </c>
      <c r="E10" s="21">
        <f>IF($D10="","",$D10*INDEX(Допущения!$C$25:$G$30,MATCH($C10,Допущения!$B$25:$B$30,0),1))</f>
        <v>3200</v>
      </c>
      <c r="F10" s="21">
        <f>IF($D10="","",$D10*INDEX(Допущения!$C$25:$G$30,MATCH($C10,Допущения!$B$25:$B$30,0),2))</f>
        <v>8000</v>
      </c>
      <c r="G10" s="21">
        <f>IF($D10="","",$D10*INDEX(Допущения!$C$25:$G$30,MATCH($C10,Допущения!$B$25:$B$30,0),3))</f>
        <v>16000</v>
      </c>
      <c r="H10" s="21">
        <f>IF($D10="","",$D10*INDEX(Допущения!$C$25:$G$30,MATCH($C10,Допущения!$B$25:$B$30,0),4))</f>
        <v>22400</v>
      </c>
      <c r="I10" s="21">
        <f>IF($D10="","",$D10*INDEX(Допущения!$C$25:$G$30,MATCH($C10,Допущения!$B$25:$B$30,0),5))</f>
        <v>28800</v>
      </c>
      <c r="J10" s="21">
        <f t="shared" si="0"/>
        <v>78400</v>
      </c>
      <c r="K10" s="22"/>
      <c r="L10" s="23" t="s">
        <v>143</v>
      </c>
    </row>
    <row r="11" spans="2:12" ht="23.25" x14ac:dyDescent="0.45">
      <c r="B11" s="10" t="s">
        <v>144</v>
      </c>
      <c r="C11" s="15" t="s">
        <v>123</v>
      </c>
      <c r="D11" s="16">
        <v>200</v>
      </c>
      <c r="E11" s="21">
        <f>IF($D11="","",$D11*INDEX(Допущения!$C$25:$G$30,MATCH($C11,Допущения!$B$25:$B$30,0),1))</f>
        <v>200</v>
      </c>
      <c r="F11" s="21">
        <f>IF($D11="","",$D11*INDEX(Допущения!$C$25:$G$30,MATCH($C11,Допущения!$B$25:$B$30,0),2))</f>
        <v>1000</v>
      </c>
      <c r="G11" s="21">
        <f>IF($D11="","",$D11*INDEX(Допущения!$C$25:$G$30,MATCH($C11,Допущения!$B$25:$B$30,0),3))</f>
        <v>2500</v>
      </c>
      <c r="H11" s="21">
        <f>IF($D11="","",$D11*INDEX(Допущения!$C$25:$G$30,MATCH($C11,Допущения!$B$25:$B$30,0),4))</f>
        <v>4166.6666666666661</v>
      </c>
      <c r="I11" s="21">
        <f>IF($D11="","",$D11*INDEX(Допущения!$C$25:$G$30,MATCH($C11,Допущения!$B$25:$B$30,0),5))</f>
        <v>5833.3333333333339</v>
      </c>
      <c r="J11" s="21">
        <f t="shared" si="0"/>
        <v>13700</v>
      </c>
      <c r="K11" s="22"/>
      <c r="L11" s="23" t="s">
        <v>145</v>
      </c>
    </row>
    <row r="12" spans="2:12" ht="23.25" x14ac:dyDescent="0.45">
      <c r="B12" s="10" t="s">
        <v>146</v>
      </c>
      <c r="C12" s="15" t="s">
        <v>121</v>
      </c>
      <c r="D12" s="16">
        <v>1000</v>
      </c>
      <c r="E12" s="21">
        <f>IF($D12="","",$D12*INDEX(Допущения!$C$25:$G$30,MATCH($C12,Допущения!$B$25:$B$30,0),1))</f>
        <v>1000</v>
      </c>
      <c r="F12" s="21">
        <f>IF($D12="","",$D12*INDEX(Допущения!$C$25:$G$30,MATCH($C12,Допущения!$B$25:$B$30,0),2))</f>
        <v>2500</v>
      </c>
      <c r="G12" s="21">
        <f>IF($D12="","",$D12*INDEX(Допущения!$C$25:$G$30,MATCH($C12,Допущения!$B$25:$B$30,0),3))</f>
        <v>5000</v>
      </c>
      <c r="H12" s="21">
        <f>IF($D12="","",$D12*INDEX(Допущения!$C$25:$G$30,MATCH($C12,Допущения!$B$25:$B$30,0),4))</f>
        <v>7000</v>
      </c>
      <c r="I12" s="21">
        <f>IF($D12="","",$D12*INDEX(Допущения!$C$25:$G$30,MATCH($C12,Допущения!$B$25:$B$30,0),5))</f>
        <v>9000</v>
      </c>
      <c r="J12" s="21">
        <f t="shared" si="0"/>
        <v>24500</v>
      </c>
      <c r="K12" s="22"/>
      <c r="L12" s="23" t="s">
        <v>147</v>
      </c>
    </row>
    <row r="13" spans="2:12" ht="23.25" x14ac:dyDescent="0.45">
      <c r="B13" s="10" t="s">
        <v>148</v>
      </c>
      <c r="C13" s="15" t="s">
        <v>117</v>
      </c>
      <c r="D13" s="16">
        <v>900</v>
      </c>
      <c r="E13" s="21">
        <f>IF($D13="","",$D13*INDEX(Допущения!$C$25:$G$30,MATCH($C13,Допущения!$B$25:$B$30,0),1))</f>
        <v>900</v>
      </c>
      <c r="F13" s="21">
        <f>IF($D13="","",$D13*INDEX(Допущения!$C$25:$G$30,MATCH($C13,Допущения!$B$25:$B$30,0),2))</f>
        <v>972.00000000000011</v>
      </c>
      <c r="G13" s="21">
        <f>IF($D13="","",$D13*INDEX(Допущения!$C$25:$G$30,MATCH($C13,Допущения!$B$25:$B$30,0),3))</f>
        <v>1049.76</v>
      </c>
      <c r="H13" s="21">
        <f>IF($D13="","",$D13*INDEX(Допущения!$C$25:$G$30,MATCH($C13,Допущения!$B$25:$B$30,0),4))</f>
        <v>1133.7408</v>
      </c>
      <c r="I13" s="21">
        <f>IF($D13="","",$D13*INDEX(Допущения!$C$25:$G$30,MATCH($C13,Допущения!$B$25:$B$30,0),5))</f>
        <v>1224.4400640000003</v>
      </c>
      <c r="J13" s="21">
        <f t="shared" si="0"/>
        <v>5279.9408640000001</v>
      </c>
      <c r="K13" s="22"/>
      <c r="L13" s="23" t="s">
        <v>149</v>
      </c>
    </row>
    <row r="14" spans="2:12" ht="23.25" x14ac:dyDescent="0.45">
      <c r="B14" s="10" t="s">
        <v>150</v>
      </c>
      <c r="C14" s="15" t="s">
        <v>115</v>
      </c>
      <c r="D14" s="16"/>
      <c r="E14" s="16">
        <v>0</v>
      </c>
      <c r="F14" s="16">
        <v>0</v>
      </c>
      <c r="G14" s="16">
        <v>35000</v>
      </c>
      <c r="H14" s="16">
        <v>48000</v>
      </c>
      <c r="I14" s="16">
        <v>62000</v>
      </c>
      <c r="J14" s="21">
        <f t="shared" si="0"/>
        <v>145000</v>
      </c>
      <c r="K14" s="22"/>
      <c r="L14" s="23" t="s">
        <v>151</v>
      </c>
    </row>
    <row r="15" spans="2:12" ht="14.25" x14ac:dyDescent="0.45">
      <c r="B15" s="24" t="s">
        <v>152</v>
      </c>
      <c r="C15" s="25"/>
      <c r="D15" s="25"/>
      <c r="E15" s="26">
        <f t="shared" ref="E15:J15" si="1">SUM(E7:E14)</f>
        <v>11600</v>
      </c>
      <c r="F15" s="26">
        <f t="shared" si="1"/>
        <v>28222</v>
      </c>
      <c r="G15" s="26">
        <f t="shared" si="1"/>
        <v>91049.760000000009</v>
      </c>
      <c r="H15" s="26">
        <f t="shared" si="1"/>
        <v>126800.40746666667</v>
      </c>
      <c r="I15" s="26">
        <f t="shared" si="1"/>
        <v>163557.77339733334</v>
      </c>
      <c r="J15" s="26">
        <f t="shared" si="1"/>
        <v>421229.940864</v>
      </c>
      <c r="K15" s="27">
        <f>IFERROR(J15/$J$51,0)</f>
        <v>5.9136392208746147E-3</v>
      </c>
      <c r="L15" s="25"/>
    </row>
    <row r="16" spans="2:12" ht="14.25" x14ac:dyDescent="0.45">
      <c r="C16" s="28"/>
    </row>
    <row r="17" spans="2:12" ht="14.25" x14ac:dyDescent="0.45">
      <c r="B17" s="7" t="s">
        <v>153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ht="14.25" x14ac:dyDescent="0.45">
      <c r="B18" s="10" t="s">
        <v>154</v>
      </c>
      <c r="C18" s="15" t="s">
        <v>121</v>
      </c>
      <c r="D18" s="16">
        <v>1800</v>
      </c>
      <c r="E18" s="21">
        <f>IF($D18="","",$D18*INDEX(Допущения!$C$25:$G$30,MATCH($C18,Допущения!$B$25:$B$30,0),1))</f>
        <v>1800</v>
      </c>
      <c r="F18" s="21">
        <f>IF($D18="","",$D18*INDEX(Допущения!$C$25:$G$30,MATCH($C18,Допущения!$B$25:$B$30,0),2))</f>
        <v>4500</v>
      </c>
      <c r="G18" s="21">
        <f>IF($D18="","",$D18*INDEX(Допущения!$C$25:$G$30,MATCH($C18,Допущения!$B$25:$B$30,0),3))</f>
        <v>9000</v>
      </c>
      <c r="H18" s="21">
        <f>IF($D18="","",$D18*INDEX(Допущения!$C$25:$G$30,MATCH($C18,Допущения!$B$25:$B$30,0),4))</f>
        <v>12600</v>
      </c>
      <c r="I18" s="21">
        <f>IF($D18="","",$D18*INDEX(Допущения!$C$25:$G$30,MATCH($C18,Допущения!$B$25:$B$30,0),5))</f>
        <v>16200</v>
      </c>
      <c r="J18" s="21">
        <f t="shared" ref="J18:J23" si="2">SUM(E18:I18)</f>
        <v>44100</v>
      </c>
      <c r="K18" s="22"/>
      <c r="L18" s="23" t="s">
        <v>155</v>
      </c>
    </row>
    <row r="19" spans="2:12" ht="14.25" x14ac:dyDescent="0.45">
      <c r="B19" s="10" t="s">
        <v>156</v>
      </c>
      <c r="C19" s="15" t="s">
        <v>117</v>
      </c>
      <c r="D19" s="16">
        <v>1200</v>
      </c>
      <c r="E19" s="21">
        <f>IF($D19="","",$D19*INDEX(Допущения!$C$25:$G$30,MATCH($C19,Допущения!$B$25:$B$30,0),1))</f>
        <v>1200</v>
      </c>
      <c r="F19" s="21">
        <f>IF($D19="","",$D19*INDEX(Допущения!$C$25:$G$30,MATCH($C19,Допущения!$B$25:$B$30,0),2))</f>
        <v>1296</v>
      </c>
      <c r="G19" s="21">
        <f>IF($D19="","",$D19*INDEX(Допущения!$C$25:$G$30,MATCH($C19,Допущения!$B$25:$B$30,0),3))</f>
        <v>1399.68</v>
      </c>
      <c r="H19" s="21">
        <f>IF($D19="","",$D19*INDEX(Допущения!$C$25:$G$30,MATCH($C19,Допущения!$B$25:$B$30,0),4))</f>
        <v>1511.6544000000001</v>
      </c>
      <c r="I19" s="21">
        <f>IF($D19="","",$D19*INDEX(Допущения!$C$25:$G$30,MATCH($C19,Допущения!$B$25:$B$30,0),5))</f>
        <v>1632.5867520000004</v>
      </c>
      <c r="J19" s="21">
        <f t="shared" si="2"/>
        <v>7039.9211520000008</v>
      </c>
      <c r="K19" s="22"/>
      <c r="L19" s="23" t="s">
        <v>157</v>
      </c>
    </row>
    <row r="20" spans="2:12" ht="14.25" x14ac:dyDescent="0.45">
      <c r="B20" s="10" t="s">
        <v>158</v>
      </c>
      <c r="C20" s="15" t="s">
        <v>121</v>
      </c>
      <c r="D20" s="16">
        <v>1800</v>
      </c>
      <c r="E20" s="21">
        <f>IF($D20="","",$D20*INDEX(Допущения!$C$25:$G$30,MATCH($C20,Допущения!$B$25:$B$30,0),1))</f>
        <v>1800</v>
      </c>
      <c r="F20" s="21">
        <f>IF($D20="","",$D20*INDEX(Допущения!$C$25:$G$30,MATCH($C20,Допущения!$B$25:$B$30,0),2))</f>
        <v>4500</v>
      </c>
      <c r="G20" s="21">
        <f>IF($D20="","",$D20*INDEX(Допущения!$C$25:$G$30,MATCH($C20,Допущения!$B$25:$B$30,0),3))</f>
        <v>9000</v>
      </c>
      <c r="H20" s="21">
        <f>IF($D20="","",$D20*INDEX(Допущения!$C$25:$G$30,MATCH($C20,Допущения!$B$25:$B$30,0),4))</f>
        <v>12600</v>
      </c>
      <c r="I20" s="21">
        <f>IF($D20="","",$D20*INDEX(Допущения!$C$25:$G$30,MATCH($C20,Допущения!$B$25:$B$30,0),5))</f>
        <v>16200</v>
      </c>
      <c r="J20" s="21">
        <f t="shared" si="2"/>
        <v>44100</v>
      </c>
      <c r="K20" s="22"/>
      <c r="L20" s="23" t="s">
        <v>159</v>
      </c>
    </row>
    <row r="21" spans="2:12" ht="15.75" customHeight="1" x14ac:dyDescent="0.45">
      <c r="B21" s="10" t="s">
        <v>160</v>
      </c>
      <c r="C21" s="15" t="s">
        <v>117</v>
      </c>
      <c r="D21" s="16">
        <v>1200</v>
      </c>
      <c r="E21" s="21">
        <f>IF($D21="","",$D21*INDEX(Допущения!$C$25:$G$30,MATCH($C21,Допущения!$B$25:$B$30,0),1))</f>
        <v>1200</v>
      </c>
      <c r="F21" s="21">
        <f>IF($D21="","",$D21*INDEX(Допущения!$C$25:$G$30,MATCH($C21,Допущения!$B$25:$B$30,0),2))</f>
        <v>1296</v>
      </c>
      <c r="G21" s="21">
        <f>IF($D21="","",$D21*INDEX(Допущения!$C$25:$G$30,MATCH($C21,Допущения!$B$25:$B$30,0),3))</f>
        <v>1399.68</v>
      </c>
      <c r="H21" s="21">
        <f>IF($D21="","",$D21*INDEX(Допущения!$C$25:$G$30,MATCH($C21,Допущения!$B$25:$B$30,0),4))</f>
        <v>1511.6544000000001</v>
      </c>
      <c r="I21" s="21">
        <f>IF($D21="","",$D21*INDEX(Допущения!$C$25:$G$30,MATCH($C21,Допущения!$B$25:$B$30,0),5))</f>
        <v>1632.5867520000004</v>
      </c>
      <c r="J21" s="21">
        <f t="shared" si="2"/>
        <v>7039.9211520000008</v>
      </c>
      <c r="K21" s="22"/>
      <c r="L21" s="23" t="s">
        <v>161</v>
      </c>
    </row>
    <row r="22" spans="2:12" ht="15.75" customHeight="1" x14ac:dyDescent="0.45">
      <c r="B22" s="10" t="s">
        <v>162</v>
      </c>
      <c r="C22" s="15" t="s">
        <v>117</v>
      </c>
      <c r="D22" s="16">
        <v>1200</v>
      </c>
      <c r="E22" s="21">
        <f>IF($D22="","",$D22*INDEX(Допущения!$C$25:$G$30,MATCH($C22,Допущения!$B$25:$B$30,0),1))</f>
        <v>1200</v>
      </c>
      <c r="F22" s="21">
        <f>IF($D22="","",$D22*INDEX(Допущения!$C$25:$G$30,MATCH($C22,Допущения!$B$25:$B$30,0),2))</f>
        <v>1296</v>
      </c>
      <c r="G22" s="21">
        <f>IF($D22="","",$D22*INDEX(Допущения!$C$25:$G$30,MATCH($C22,Допущения!$B$25:$B$30,0),3))</f>
        <v>1399.68</v>
      </c>
      <c r="H22" s="21">
        <f>IF($D22="","",$D22*INDEX(Допущения!$C$25:$G$30,MATCH($C22,Допущения!$B$25:$B$30,0),4))</f>
        <v>1511.6544000000001</v>
      </c>
      <c r="I22" s="21">
        <f>IF($D22="","",$D22*INDEX(Допущения!$C$25:$G$30,MATCH($C22,Допущения!$B$25:$B$30,0),5))</f>
        <v>1632.5867520000004</v>
      </c>
      <c r="J22" s="21">
        <f t="shared" si="2"/>
        <v>7039.9211520000008</v>
      </c>
      <c r="K22" s="22"/>
      <c r="L22" s="23" t="s">
        <v>163</v>
      </c>
    </row>
    <row r="23" spans="2:12" ht="15.75" customHeight="1" x14ac:dyDescent="0.45">
      <c r="B23" s="10"/>
      <c r="C23" s="15" t="s">
        <v>115</v>
      </c>
      <c r="D23" s="16"/>
      <c r="E23" s="21" t="str">
        <f>IF($D23="","",$D23*INDEX(Допущения!$C$25:$G$30,MATCH($C23,Допущения!$B$25:$B$30,0),1))</f>
        <v/>
      </c>
      <c r="F23" s="21" t="str">
        <f>IF($D23="","",$D23*INDEX(Допущения!$C$25:$G$30,MATCH($C23,Допущения!$B$25:$B$30,0),2))</f>
        <v/>
      </c>
      <c r="G23" s="21" t="str">
        <f>IF($D23="","",$D23*INDEX(Допущения!$C$25:$G$30,MATCH($C23,Допущения!$B$25:$B$30,0),3))</f>
        <v/>
      </c>
      <c r="H23" s="21" t="str">
        <f>IF($D23="","",$D23*INDEX(Допущения!$C$25:$G$30,MATCH($C23,Допущения!$B$25:$B$30,0),4))</f>
        <v/>
      </c>
      <c r="I23" s="21" t="str">
        <f>IF($D23="","",$D23*INDEX(Допущения!$C$25:$G$30,MATCH($C23,Допущения!$B$25:$B$30,0),5))</f>
        <v/>
      </c>
      <c r="J23" s="21">
        <f t="shared" si="2"/>
        <v>0</v>
      </c>
      <c r="K23" s="22"/>
      <c r="L23" s="23" t="s">
        <v>164</v>
      </c>
    </row>
    <row r="24" spans="2:12" ht="15.75" customHeight="1" x14ac:dyDescent="0.45">
      <c r="B24" s="24" t="s">
        <v>152</v>
      </c>
      <c r="C24" s="25"/>
      <c r="D24" s="25"/>
      <c r="E24" s="26">
        <f t="shared" ref="E24:J24" si="3">SUM(E18:E23)</f>
        <v>7200</v>
      </c>
      <c r="F24" s="26">
        <f t="shared" si="3"/>
        <v>12888</v>
      </c>
      <c r="G24" s="26">
        <f t="shared" si="3"/>
        <v>22199.040000000001</v>
      </c>
      <c r="H24" s="26">
        <f t="shared" si="3"/>
        <v>29734.963199999998</v>
      </c>
      <c r="I24" s="26">
        <f t="shared" si="3"/>
        <v>37297.760256000009</v>
      </c>
      <c r="J24" s="26">
        <f t="shared" si="3"/>
        <v>109319.76345599999</v>
      </c>
      <c r="K24" s="27">
        <f>IFERROR(J24/$J$51,0)</f>
        <v>1.534738104001162E-3</v>
      </c>
      <c r="L24" s="25"/>
    </row>
    <row r="25" spans="2:12" ht="15.75" customHeight="1" x14ac:dyDescent="0.45">
      <c r="C25" s="28"/>
    </row>
    <row r="26" spans="2:12" ht="15.75" customHeight="1" x14ac:dyDescent="0.45">
      <c r="B26" s="7" t="s">
        <v>165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45">
      <c r="B27" s="10" t="s">
        <v>166</v>
      </c>
      <c r="C27" s="15" t="s">
        <v>125</v>
      </c>
      <c r="D27" s="16">
        <v>480000</v>
      </c>
      <c r="E27" s="21">
        <f>IF($D27="","",$D27*INDEX(Допущения!$C$25:$G$30,MATCH($C27,Допущения!$B$25:$B$30,0),1))</f>
        <v>480000</v>
      </c>
      <c r="F27" s="21">
        <f>IF($D27="","",$D27*INDEX(Допущения!$C$25:$G$30,MATCH($C27,Допущения!$B$25:$B$30,0),2))</f>
        <v>2520000</v>
      </c>
      <c r="G27" s="21">
        <f>IF($D27="","",$D27*INDEX(Допущения!$C$25:$G$30,MATCH($C27,Допущения!$B$25:$B$30,0),3))</f>
        <v>6600000</v>
      </c>
      <c r="H27" s="21">
        <f>IF($D27="","",$D27*INDEX(Допущения!$C$25:$G$30,MATCH($C27,Допущения!$B$25:$B$30,0),4))</f>
        <v>11500000</v>
      </c>
      <c r="I27" s="21">
        <f>IF($D27="","",$D27*INDEX(Допущения!$C$25:$G$30,MATCH($C27,Допущения!$B$25:$B$30,0),5))</f>
        <v>16800000</v>
      </c>
      <c r="J27" s="21">
        <f>SUM(E27:I27)</f>
        <v>37900000</v>
      </c>
      <c r="K27" s="22"/>
      <c r="L27" s="23" t="s">
        <v>167</v>
      </c>
    </row>
    <row r="28" spans="2:12" ht="15.75" customHeight="1" x14ac:dyDescent="0.45">
      <c r="B28" s="10" t="s">
        <v>168</v>
      </c>
      <c r="C28" s="15" t="s">
        <v>123</v>
      </c>
      <c r="D28" s="16">
        <v>90000</v>
      </c>
      <c r="E28" s="21">
        <f>IF($D28="","",$D28*INDEX(Допущения!$C$25:$G$30,MATCH($C28,Допущения!$B$25:$B$30,0),1))</f>
        <v>90000</v>
      </c>
      <c r="F28" s="21">
        <f>IF($D28="","",$D28*INDEX(Допущения!$C$25:$G$30,MATCH($C28,Допущения!$B$25:$B$30,0),2))</f>
        <v>450000</v>
      </c>
      <c r="G28" s="21">
        <f>IF($D28="","",$D28*INDEX(Допущения!$C$25:$G$30,MATCH($C28,Допущения!$B$25:$B$30,0),3))</f>
        <v>1125000</v>
      </c>
      <c r="H28" s="21">
        <f>IF($D28="","",$D28*INDEX(Допущения!$C$25:$G$30,MATCH($C28,Допущения!$B$25:$B$30,0),4))</f>
        <v>1875000</v>
      </c>
      <c r="I28" s="21">
        <f>IF($D28="","",$D28*INDEX(Допущения!$C$25:$G$30,MATCH($C28,Допущения!$B$25:$B$30,0),5))</f>
        <v>2625000</v>
      </c>
      <c r="J28" s="21">
        <f>SUM(E28:I28)</f>
        <v>6165000</v>
      </c>
      <c r="K28" s="22"/>
      <c r="L28" s="23" t="s">
        <v>169</v>
      </c>
    </row>
    <row r="29" spans="2:12" ht="15.75" customHeight="1" x14ac:dyDescent="0.45">
      <c r="B29" s="10" t="s">
        <v>170</v>
      </c>
      <c r="C29" s="15" t="s">
        <v>123</v>
      </c>
      <c r="D29" s="16">
        <v>18000</v>
      </c>
      <c r="E29" s="21">
        <f>IF($D29="","",$D29*INDEX(Допущения!$C$25:$G$30,MATCH($C29,Допущения!$B$25:$B$30,0),1))</f>
        <v>18000</v>
      </c>
      <c r="F29" s="21">
        <f>IF($D29="","",$D29*INDEX(Допущения!$C$25:$G$30,MATCH($C29,Допущения!$B$25:$B$30,0),2))</f>
        <v>90000</v>
      </c>
      <c r="G29" s="21">
        <f>IF($D29="","",$D29*INDEX(Допущения!$C$25:$G$30,MATCH($C29,Допущения!$B$25:$B$30,0),3))</f>
        <v>225000</v>
      </c>
      <c r="H29" s="21">
        <f>IF($D29="","",$D29*INDEX(Допущения!$C$25:$G$30,MATCH($C29,Допущения!$B$25:$B$30,0),4))</f>
        <v>375000</v>
      </c>
      <c r="I29" s="21">
        <f>IF($D29="","",$D29*INDEX(Допущения!$C$25:$G$30,MATCH($C29,Допущения!$B$25:$B$30,0),5))</f>
        <v>525000</v>
      </c>
      <c r="J29" s="21">
        <f>SUM(E29:I29)</f>
        <v>1233000</v>
      </c>
      <c r="K29" s="22"/>
      <c r="L29" s="23" t="s">
        <v>171</v>
      </c>
    </row>
    <row r="30" spans="2:12" ht="15.75" customHeight="1" x14ac:dyDescent="0.45">
      <c r="B30" s="10" t="s">
        <v>172</v>
      </c>
      <c r="C30" s="15" t="s">
        <v>123</v>
      </c>
      <c r="D30" s="16">
        <v>180000</v>
      </c>
      <c r="E30" s="21">
        <f>IF($D30="","",$D30*INDEX(Допущения!$C$25:$G$30,MATCH($C30,Допущения!$B$25:$B$30,0),1))</f>
        <v>180000</v>
      </c>
      <c r="F30" s="21">
        <f>IF($D30="","",$D30*INDEX(Допущения!$C$25:$G$30,MATCH($C30,Допущения!$B$25:$B$30,0),2))</f>
        <v>900000</v>
      </c>
      <c r="G30" s="21">
        <f>IF($D30="","",$D30*INDEX(Допущения!$C$25:$G$30,MATCH($C30,Допущения!$B$25:$B$30,0),3))</f>
        <v>2250000</v>
      </c>
      <c r="H30" s="21">
        <f>IF($D30="","",$D30*INDEX(Допущения!$C$25:$G$30,MATCH($C30,Допущения!$B$25:$B$30,0),4))</f>
        <v>3750000</v>
      </c>
      <c r="I30" s="21">
        <f>IF($D30="","",$D30*INDEX(Допущения!$C$25:$G$30,MATCH($C30,Допущения!$B$25:$B$30,0),5))</f>
        <v>5250000</v>
      </c>
      <c r="J30" s="21">
        <f>SUM(E30:I30)</f>
        <v>12330000</v>
      </c>
      <c r="K30" s="22"/>
      <c r="L30" s="23" t="s">
        <v>173</v>
      </c>
    </row>
    <row r="31" spans="2:12" ht="15.75" customHeight="1" x14ac:dyDescent="0.45">
      <c r="B31" s="10"/>
      <c r="C31" s="15" t="s">
        <v>115</v>
      </c>
      <c r="D31" s="16"/>
      <c r="E31" s="21" t="str">
        <f>IF($D31="","",$D31*INDEX(Допущения!$C$25:$G$30,MATCH($C31,Допущения!$B$25:$B$30,0),1))</f>
        <v/>
      </c>
      <c r="F31" s="21" t="str">
        <f>IF($D31="","",$D31*INDEX(Допущения!$C$25:$G$30,MATCH($C31,Допущения!$B$25:$B$30,0),2))</f>
        <v/>
      </c>
      <c r="G31" s="21" t="str">
        <f>IF($D31="","",$D31*INDEX(Допущения!$C$25:$G$30,MATCH($C31,Допущения!$B$25:$B$30,0),3))</f>
        <v/>
      </c>
      <c r="H31" s="21" t="str">
        <f>IF($D31="","",$D31*INDEX(Допущения!$C$25:$G$30,MATCH($C31,Допущения!$B$25:$B$30,0),4))</f>
        <v/>
      </c>
      <c r="I31" s="21" t="str">
        <f>IF($D31="","",$D31*INDEX(Допущения!$C$25:$G$30,MATCH($C31,Допущения!$B$25:$B$30,0),5))</f>
        <v/>
      </c>
      <c r="J31" s="21">
        <f>SUM(E31:I31)</f>
        <v>0</v>
      </c>
      <c r="K31" s="22"/>
      <c r="L31" s="23" t="s">
        <v>164</v>
      </c>
    </row>
    <row r="32" spans="2:12" ht="15.75" customHeight="1" x14ac:dyDescent="0.45">
      <c r="B32" s="24" t="s">
        <v>152</v>
      </c>
      <c r="C32" s="25"/>
      <c r="D32" s="25"/>
      <c r="E32" s="26">
        <f t="shared" ref="E32:J32" si="4">SUM(E27:E31)</f>
        <v>768000</v>
      </c>
      <c r="F32" s="26">
        <f t="shared" si="4"/>
        <v>3960000</v>
      </c>
      <c r="G32" s="26">
        <f t="shared" si="4"/>
        <v>10200000</v>
      </c>
      <c r="H32" s="26">
        <f t="shared" si="4"/>
        <v>17500000</v>
      </c>
      <c r="I32" s="26">
        <f t="shared" si="4"/>
        <v>25200000</v>
      </c>
      <c r="J32" s="26">
        <f t="shared" si="4"/>
        <v>57628000</v>
      </c>
      <c r="K32" s="27">
        <f>IFERROR(J32/$J$51,0)</f>
        <v>0.8090384086220298</v>
      </c>
      <c r="L32" s="25"/>
    </row>
    <row r="33" spans="2:12" ht="15.75" customHeight="1" x14ac:dyDescent="0.45">
      <c r="C33" s="28"/>
    </row>
    <row r="34" spans="2:12" ht="15.75" customHeight="1" x14ac:dyDescent="0.45">
      <c r="B34" s="7" t="s">
        <v>174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45">
      <c r="B35" s="10" t="s">
        <v>175</v>
      </c>
      <c r="C35" s="15" t="s">
        <v>119</v>
      </c>
      <c r="D35" s="16">
        <v>300000</v>
      </c>
      <c r="E35" s="21">
        <f>IF($D35="","",$D35*INDEX(Допущения!$C$25:$G$30,MATCH($C35,Допущения!$B$25:$B$30,0),1))</f>
        <v>300000</v>
      </c>
      <c r="F35" s="21">
        <f>IF($D35="","",$D35*INDEX(Допущения!$C$25:$G$30,MATCH($C35,Допущения!$B$25:$B$30,0),2))</f>
        <v>330000</v>
      </c>
      <c r="G35" s="21">
        <f>IF($D35="","",$D35*INDEX(Допущения!$C$25:$G$30,MATCH($C35,Допущения!$B$25:$B$30,0),3))</f>
        <v>363000.00000000006</v>
      </c>
      <c r="H35" s="21">
        <f>IF($D35="","",$D35*INDEX(Допущения!$C$25:$G$30,MATCH($C35,Допущения!$B$25:$B$30,0),4))</f>
        <v>399300.00000000012</v>
      </c>
      <c r="I35" s="21">
        <f>IF($D35="","",$D35*INDEX(Допущения!$C$25:$G$30,MATCH($C35,Допущения!$B$25:$B$30,0),5))</f>
        <v>439230.00000000017</v>
      </c>
      <c r="J35" s="21">
        <f>SUM(E35:I35)</f>
        <v>1831530.0000000002</v>
      </c>
      <c r="K35" s="22"/>
      <c r="L35" s="23" t="s">
        <v>176</v>
      </c>
    </row>
    <row r="36" spans="2:12" ht="15.75" customHeight="1" x14ac:dyDescent="0.45">
      <c r="B36" s="10" t="s">
        <v>177</v>
      </c>
      <c r="C36" s="15" t="s">
        <v>119</v>
      </c>
      <c r="D36" s="16">
        <v>60000</v>
      </c>
      <c r="E36" s="21">
        <f>IF($D36="","",$D36*INDEX(Допущения!$C$25:$G$30,MATCH($C36,Допущения!$B$25:$B$30,0),1))</f>
        <v>60000</v>
      </c>
      <c r="F36" s="21">
        <f>IF($D36="","",$D36*INDEX(Допущения!$C$25:$G$30,MATCH($C36,Допущения!$B$25:$B$30,0),2))</f>
        <v>66000</v>
      </c>
      <c r="G36" s="21">
        <f>IF($D36="","",$D36*INDEX(Допущения!$C$25:$G$30,MATCH($C36,Допущения!$B$25:$B$30,0),3))</f>
        <v>72600.000000000015</v>
      </c>
      <c r="H36" s="21">
        <f>IF($D36="","",$D36*INDEX(Допущения!$C$25:$G$30,MATCH($C36,Допущения!$B$25:$B$30,0),4))</f>
        <v>79860.000000000029</v>
      </c>
      <c r="I36" s="21">
        <f>IF($D36="","",$D36*INDEX(Допущения!$C$25:$G$30,MATCH($C36,Допущения!$B$25:$B$30,0),5))</f>
        <v>87846.000000000044</v>
      </c>
      <c r="J36" s="21">
        <f>SUM(E36:I36)</f>
        <v>366306.00000000006</v>
      </c>
      <c r="K36" s="22"/>
      <c r="L36" s="23" t="s">
        <v>178</v>
      </c>
    </row>
    <row r="37" spans="2:12" ht="15.75" customHeight="1" x14ac:dyDescent="0.45">
      <c r="B37" s="10" t="s">
        <v>179</v>
      </c>
      <c r="C37" s="15" t="s">
        <v>119</v>
      </c>
      <c r="D37" s="16">
        <v>24000</v>
      </c>
      <c r="E37" s="21">
        <f>IF($D37="","",$D37*INDEX(Допущения!$C$25:$G$30,MATCH($C37,Допущения!$B$25:$B$30,0),1))</f>
        <v>24000</v>
      </c>
      <c r="F37" s="21">
        <f>IF($D37="","",$D37*INDEX(Допущения!$C$25:$G$30,MATCH($C37,Допущения!$B$25:$B$30,0),2))</f>
        <v>26400.000000000004</v>
      </c>
      <c r="G37" s="21">
        <f>IF($D37="","",$D37*INDEX(Допущения!$C$25:$G$30,MATCH($C37,Допущения!$B$25:$B$30,0),3))</f>
        <v>29040.000000000004</v>
      </c>
      <c r="H37" s="21">
        <f>IF($D37="","",$D37*INDEX(Допущения!$C$25:$G$30,MATCH($C37,Допущения!$B$25:$B$30,0),4))</f>
        <v>31944.000000000011</v>
      </c>
      <c r="I37" s="21">
        <f>IF($D37="","",$D37*INDEX(Допущения!$C$25:$G$30,MATCH($C37,Допущения!$B$25:$B$30,0),5))</f>
        <v>35138.400000000016</v>
      </c>
      <c r="J37" s="21">
        <f>SUM(E37:I37)</f>
        <v>146522.40000000002</v>
      </c>
      <c r="K37" s="22"/>
      <c r="L37" s="23" t="s">
        <v>180</v>
      </c>
    </row>
    <row r="38" spans="2:12" ht="15.75" customHeight="1" x14ac:dyDescent="0.45">
      <c r="B38" s="10" t="s">
        <v>181</v>
      </c>
      <c r="C38" s="15" t="s">
        <v>119</v>
      </c>
      <c r="D38" s="16">
        <v>150000</v>
      </c>
      <c r="E38" s="21">
        <f>IF($D38="","",$D38*INDEX(Допущения!$C$25:$G$30,MATCH($C38,Допущения!$B$25:$B$30,0),1))</f>
        <v>150000</v>
      </c>
      <c r="F38" s="21">
        <f>IF($D38="","",$D38*INDEX(Допущения!$C$25:$G$30,MATCH($C38,Допущения!$B$25:$B$30,0),2))</f>
        <v>165000</v>
      </c>
      <c r="G38" s="21">
        <f>IF($D38="","",$D38*INDEX(Допущения!$C$25:$G$30,MATCH($C38,Допущения!$B$25:$B$30,0),3))</f>
        <v>181500.00000000003</v>
      </c>
      <c r="H38" s="21">
        <f>IF($D38="","",$D38*INDEX(Допущения!$C$25:$G$30,MATCH($C38,Допущения!$B$25:$B$30,0),4))</f>
        <v>199650.00000000006</v>
      </c>
      <c r="I38" s="21">
        <f>IF($D38="","",$D38*INDEX(Допущения!$C$25:$G$30,MATCH($C38,Допущения!$B$25:$B$30,0),5))</f>
        <v>219615.00000000009</v>
      </c>
      <c r="J38" s="21">
        <f>SUM(E38:I38)</f>
        <v>915765.00000000012</v>
      </c>
      <c r="K38" s="22"/>
      <c r="L38" s="23" t="s">
        <v>182</v>
      </c>
    </row>
    <row r="39" spans="2:12" ht="15.75" customHeight="1" x14ac:dyDescent="0.45">
      <c r="B39" s="10" t="s">
        <v>183</v>
      </c>
      <c r="C39" s="15" t="s">
        <v>115</v>
      </c>
      <c r="D39" s="16"/>
      <c r="E39" s="16">
        <v>0</v>
      </c>
      <c r="F39" s="16">
        <v>0</v>
      </c>
      <c r="G39" s="16">
        <v>120000</v>
      </c>
      <c r="H39" s="16">
        <v>132000</v>
      </c>
      <c r="I39" s="16">
        <v>145000</v>
      </c>
      <c r="J39" s="21">
        <f>SUM(E39:I39)</f>
        <v>397000</v>
      </c>
      <c r="K39" s="22"/>
      <c r="L39" s="23" t="s">
        <v>184</v>
      </c>
    </row>
    <row r="40" spans="2:12" ht="15.75" customHeight="1" x14ac:dyDescent="0.45">
      <c r="B40" s="24" t="s">
        <v>152</v>
      </c>
      <c r="C40" s="25"/>
      <c r="D40" s="25"/>
      <c r="E40" s="26">
        <f t="shared" ref="E40:J40" si="5">SUM(E35:E39)</f>
        <v>534000</v>
      </c>
      <c r="F40" s="26">
        <f t="shared" si="5"/>
        <v>587400</v>
      </c>
      <c r="G40" s="26">
        <f t="shared" si="5"/>
        <v>766140.00000000012</v>
      </c>
      <c r="H40" s="26">
        <f t="shared" si="5"/>
        <v>842754.00000000023</v>
      </c>
      <c r="I40" s="26">
        <f t="shared" si="5"/>
        <v>926829.40000000037</v>
      </c>
      <c r="J40" s="26">
        <f t="shared" si="5"/>
        <v>3657123.4000000004</v>
      </c>
      <c r="K40" s="27">
        <f>IFERROR(J40/$J$51,0)</f>
        <v>5.1342286660484265E-2</v>
      </c>
      <c r="L40" s="25"/>
    </row>
    <row r="41" spans="2:12" ht="15.75" customHeight="1" x14ac:dyDescent="0.45">
      <c r="C41" s="28"/>
    </row>
    <row r="42" spans="2:12" ht="15.75" customHeight="1" x14ac:dyDescent="0.45">
      <c r="B42" s="7" t="s">
        <v>185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45">
      <c r="B43" s="10" t="s">
        <v>186</v>
      </c>
      <c r="C43" s="15" t="s">
        <v>115</v>
      </c>
      <c r="D43" s="16">
        <v>25000</v>
      </c>
      <c r="E43" s="21">
        <f>IF($D43="","",$D43*INDEX(Допущения!$C$25:$G$30,MATCH($C43,Допущения!$B$25:$B$30,0),1))</f>
        <v>25000</v>
      </c>
      <c r="F43" s="16">
        <v>10000</v>
      </c>
      <c r="G43" s="16">
        <v>10000</v>
      </c>
      <c r="H43" s="16">
        <v>10000</v>
      </c>
      <c r="I43" s="16">
        <v>10000</v>
      </c>
      <c r="J43" s="21">
        <f>SUM(E43:I43)</f>
        <v>65000</v>
      </c>
      <c r="K43" s="22"/>
      <c r="L43" s="23" t="s">
        <v>187</v>
      </c>
    </row>
    <row r="44" spans="2:12" ht="15.75" customHeight="1" x14ac:dyDescent="0.45">
      <c r="B44" s="10" t="s">
        <v>188</v>
      </c>
      <c r="C44" s="15" t="s">
        <v>117</v>
      </c>
      <c r="D44" s="16">
        <v>10000</v>
      </c>
      <c r="E44" s="21">
        <f>IF($D44="","",$D44*INDEX(Допущения!$C$25:$G$30,MATCH($C44,Допущения!$B$25:$B$30,0),1))</f>
        <v>10000</v>
      </c>
      <c r="F44" s="21">
        <f>IF($D44="","",$D44*INDEX(Допущения!$C$25:$G$30,MATCH($C44,Допущения!$B$25:$B$30,0),2))</f>
        <v>10800</v>
      </c>
      <c r="G44" s="21">
        <f>IF($D44="","",$D44*INDEX(Допущения!$C$25:$G$30,MATCH($C44,Допущения!$B$25:$B$30,0),3))</f>
        <v>11664.000000000002</v>
      </c>
      <c r="H44" s="21">
        <f>IF($D44="","",$D44*INDEX(Допущения!$C$25:$G$30,MATCH($C44,Допущения!$B$25:$B$30,0),4))</f>
        <v>12597.12</v>
      </c>
      <c r="I44" s="21">
        <f>IF($D44="","",$D44*INDEX(Допущения!$C$25:$G$30,MATCH($C44,Допущения!$B$25:$B$30,0),5))</f>
        <v>13604.889600000002</v>
      </c>
      <c r="J44" s="21">
        <f>SUM(E44:I44)</f>
        <v>58666.009600000005</v>
      </c>
      <c r="K44" s="22"/>
      <c r="L44" s="23" t="s">
        <v>189</v>
      </c>
    </row>
    <row r="45" spans="2:12" ht="15.75" customHeight="1" x14ac:dyDescent="0.45">
      <c r="B45" s="10" t="s">
        <v>190</v>
      </c>
      <c r="C45" s="15" t="s">
        <v>115</v>
      </c>
      <c r="D45" s="16">
        <v>0</v>
      </c>
      <c r="E45" s="21">
        <f>IF($D45="","",$D45*INDEX(Допущения!$C$25:$G$30,MATCH($C45,Допущения!$B$25:$B$30,0),1))</f>
        <v>0</v>
      </c>
      <c r="F45" s="21">
        <f>IF($D45="","",$D45*INDEX(Допущения!$C$25:$G$30,MATCH($C45,Допущения!$B$25:$B$30,0),2))</f>
        <v>0</v>
      </c>
      <c r="G45" s="21">
        <f>IF($D45="","",$D45*INDEX(Допущения!$C$25:$G$30,MATCH($C45,Допущения!$B$25:$B$30,0),3))</f>
        <v>0</v>
      </c>
      <c r="H45" s="21">
        <f>IF($D45="","",$D45*INDEX(Допущения!$C$25:$G$30,MATCH($C45,Допущения!$B$25:$B$30,0),4))</f>
        <v>0</v>
      </c>
      <c r="I45" s="21">
        <f>IF($D45="","",$D45*INDEX(Допущения!$C$25:$G$30,MATCH($C45,Допущения!$B$25:$B$30,0),5))</f>
        <v>0</v>
      </c>
      <c r="J45" s="21">
        <f>SUM(E45:I45)</f>
        <v>0</v>
      </c>
      <c r="K45" s="22"/>
      <c r="L45" s="23" t="s">
        <v>191</v>
      </c>
    </row>
    <row r="46" spans="2:12" ht="15.75" customHeight="1" x14ac:dyDescent="0.45">
      <c r="B46" s="10" t="s">
        <v>192</v>
      </c>
      <c r="C46" s="15" t="s">
        <v>115</v>
      </c>
      <c r="D46" s="16">
        <v>0</v>
      </c>
      <c r="E46" s="21">
        <f>IF($D46="","",$D46*INDEX(Допущения!$C$25:$G$30,MATCH($C46,Допущения!$B$25:$B$30,0),1))</f>
        <v>0</v>
      </c>
      <c r="F46" s="21">
        <f>IF($D46="","",$D46*INDEX(Допущения!$C$25:$G$30,MATCH($C46,Допущения!$B$25:$B$30,0),2))</f>
        <v>0</v>
      </c>
      <c r="G46" s="21">
        <f>IF($D46="","",$D46*INDEX(Допущения!$C$25:$G$30,MATCH($C46,Допущения!$B$25:$B$30,0),3))</f>
        <v>0</v>
      </c>
      <c r="H46" s="21">
        <f>IF($D46="","",$D46*INDEX(Допущения!$C$25:$G$30,MATCH($C46,Допущения!$B$25:$B$30,0),4))</f>
        <v>0</v>
      </c>
      <c r="I46" s="21">
        <f>IF($D46="","",$D46*INDEX(Допущения!$C$25:$G$30,MATCH($C46,Допущения!$B$25:$B$30,0),5))</f>
        <v>0</v>
      </c>
      <c r="J46" s="21">
        <f>SUM(E46:I46)</f>
        <v>0</v>
      </c>
      <c r="K46" s="22"/>
      <c r="L46" s="23" t="s">
        <v>193</v>
      </c>
    </row>
    <row r="47" spans="2:12" ht="15.75" customHeight="1" x14ac:dyDescent="0.45">
      <c r="B47" s="10"/>
      <c r="C47" s="15" t="s">
        <v>115</v>
      </c>
      <c r="D47" s="16"/>
      <c r="E47" s="21" t="str">
        <f>IF($D47="","",$D47*INDEX(Допущения!$C$25:$G$30,MATCH($C47,Допущения!$B$25:$B$30,0),1))</f>
        <v/>
      </c>
      <c r="F47" s="21" t="str">
        <f>IF($D47="","",$D47*INDEX(Допущения!$C$25:$G$30,MATCH($C47,Допущения!$B$25:$B$30,0),2))</f>
        <v/>
      </c>
      <c r="G47" s="21" t="str">
        <f>IF($D47="","",$D47*INDEX(Допущения!$C$25:$G$30,MATCH($C47,Допущения!$B$25:$B$30,0),3))</f>
        <v/>
      </c>
      <c r="H47" s="21" t="str">
        <f>IF($D47="","",$D47*INDEX(Допущения!$C$25:$G$30,MATCH($C47,Допущения!$B$25:$B$30,0),4))</f>
        <v/>
      </c>
      <c r="I47" s="21" t="str">
        <f>IF($D47="","",$D47*INDEX(Допущения!$C$25:$G$30,MATCH($C47,Допущения!$B$25:$B$30,0),5))</f>
        <v/>
      </c>
      <c r="J47" s="21">
        <f>SUM(E47:I47)</f>
        <v>0</v>
      </c>
      <c r="K47" s="22"/>
      <c r="L47" s="23" t="s">
        <v>164</v>
      </c>
    </row>
    <row r="48" spans="2:12" ht="15.75" customHeight="1" x14ac:dyDescent="0.45">
      <c r="B48" s="24" t="s">
        <v>152</v>
      </c>
      <c r="C48" s="25"/>
      <c r="D48" s="25"/>
      <c r="E48" s="26">
        <f t="shared" ref="E48:J48" si="6">SUM(E43:E47)</f>
        <v>35000</v>
      </c>
      <c r="F48" s="26">
        <f t="shared" si="6"/>
        <v>20800</v>
      </c>
      <c r="G48" s="26">
        <f t="shared" si="6"/>
        <v>21664</v>
      </c>
      <c r="H48" s="26">
        <f t="shared" si="6"/>
        <v>22597.120000000003</v>
      </c>
      <c r="I48" s="26">
        <f t="shared" si="6"/>
        <v>23604.889600000002</v>
      </c>
      <c r="J48" s="26">
        <f t="shared" si="6"/>
        <v>123666.0096</v>
      </c>
      <c r="K48" s="27">
        <f>IFERROR(J48/$J$51,0)</f>
        <v>1.7361447839144282E-3</v>
      </c>
      <c r="L48" s="25"/>
    </row>
    <row r="49" spans="2:12" ht="15.75" customHeight="1" x14ac:dyDescent="0.45">
      <c r="C49" s="28"/>
    </row>
    <row r="50" spans="2:12" ht="15.75" customHeight="1" x14ac:dyDescent="0.45">
      <c r="B50" s="13" t="s">
        <v>194</v>
      </c>
      <c r="C50" s="28"/>
      <c r="E50" s="29">
        <f>(E15+E24+E32+E40+E48)*Допущения!$C$17</f>
        <v>203370</v>
      </c>
      <c r="F50" s="29">
        <f>(F15+F24+F32+F40+F48)*Допущения!$C$17</f>
        <v>691396.5</v>
      </c>
      <c r="G50" s="29">
        <f>(G15+G24+G32+G40+G48)*Допущения!$C$17</f>
        <v>1665157.9200000002</v>
      </c>
      <c r="H50" s="29">
        <f>(H15+H24+H32+H40+H48)*Допущения!$C$17</f>
        <v>2778282.9736000001</v>
      </c>
      <c r="I50" s="29">
        <f>(I15+I24+I32+I40+I48)*Допущения!$C$17</f>
        <v>3952693.4734879998</v>
      </c>
      <c r="J50" s="21">
        <f>SUM(E50:I50)</f>
        <v>9290900.8670879994</v>
      </c>
      <c r="L50" s="6" t="s">
        <v>195</v>
      </c>
    </row>
    <row r="51" spans="2:12" ht="15.75" customHeight="1" x14ac:dyDescent="0.45">
      <c r="B51" s="24" t="s">
        <v>196</v>
      </c>
      <c r="C51" s="28"/>
      <c r="E51" s="26">
        <f>E15+E24+E32+E40+E48+E50</f>
        <v>1559170</v>
      </c>
      <c r="F51" s="26">
        <f>F15+F24+F32+F40+F48+F50</f>
        <v>5300706.5</v>
      </c>
      <c r="G51" s="26">
        <f>G15+G24+G32+G40+G48+G50</f>
        <v>12766210.720000001</v>
      </c>
      <c r="H51" s="26">
        <f>H15+H24+H32+H40+H48+H50</f>
        <v>21300169.464266669</v>
      </c>
      <c r="I51" s="26">
        <f>I15+I24+I32+I40+I48+I50</f>
        <v>30303983.296741333</v>
      </c>
      <c r="J51" s="26">
        <f>SUM(E51:I51)</f>
        <v>71230239.981008008</v>
      </c>
    </row>
    <row r="52" spans="2:12" ht="15.75" customHeight="1" x14ac:dyDescent="0.45">
      <c r="B52" s="7" t="s">
        <v>197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45">
      <c r="B53" s="10" t="s">
        <v>198</v>
      </c>
      <c r="E53" s="29">
        <f>(1-E$80)*Допущения!C$10*Допущения!$C$22*Допущения!$C$21</f>
        <v>72000.000000000058</v>
      </c>
      <c r="F53" s="29">
        <f>(1-F$80)*Допущения!D$10*Допущения!$C$22*Допущения!$C$21</f>
        <v>188999.99999997916</v>
      </c>
      <c r="G53" s="29">
        <f>(1-G$80)*Допущения!E$10*Допущения!$C$22*Допущения!$C$21</f>
        <v>98999.999999989086</v>
      </c>
      <c r="H53" s="29">
        <f>(1-H$80)*Допущения!F$10*Допущения!$C$22*Допущения!$C$21</f>
        <v>172499.99999998102</v>
      </c>
      <c r="I53" s="29">
        <f>(1-I$80)*Допущения!G$10*Допущения!$C$22*Допущения!$C$21</f>
        <v>251999.99999997223</v>
      </c>
      <c r="J53" s="21">
        <f>SUM(E53:I53)</f>
        <v>784499.99999992154</v>
      </c>
      <c r="L53" s="32" t="s">
        <v>199</v>
      </c>
    </row>
    <row r="54" spans="2:12" ht="15.75" customHeight="1" x14ac:dyDescent="0.45">
      <c r="B54" s="24" t="s">
        <v>200</v>
      </c>
      <c r="E54" s="26">
        <f>E51+E53</f>
        <v>1631170</v>
      </c>
      <c r="F54" s="26">
        <f>F51+F53</f>
        <v>5489706.4999999795</v>
      </c>
      <c r="G54" s="26">
        <f>G51+G53</f>
        <v>12865210.719999989</v>
      </c>
      <c r="H54" s="26">
        <f>H51+H53</f>
        <v>21472669.46426665</v>
      </c>
      <c r="I54" s="26">
        <f>I51+I53</f>
        <v>30555983.296741307</v>
      </c>
      <c r="J54" s="26">
        <f>SUM(E54:I54)</f>
        <v>72014739.981007934</v>
      </c>
    </row>
    <row r="55" spans="2:12" ht="15.75" customHeight="1" x14ac:dyDescent="0.45">
      <c r="B55" s="10" t="s">
        <v>201</v>
      </c>
      <c r="E55" s="30">
        <f>1/(1+Допущения!$C$16)^0</f>
        <v>1</v>
      </c>
      <c r="F55" s="30">
        <f>1/(1+Допущения!$C$16)^1</f>
        <v>0.8</v>
      </c>
      <c r="G55" s="30">
        <f>1/(1+Допущения!$C$16)^2</f>
        <v>0.64</v>
      </c>
      <c r="H55" s="30">
        <f>1/(1+Допущения!$C$16)^3</f>
        <v>0.51200000000000001</v>
      </c>
      <c r="I55" s="30">
        <f>1/(1+Допущения!$C$16)^4</f>
        <v>0.40960000000000002</v>
      </c>
    </row>
    <row r="56" spans="2:12" ht="15.75" customHeight="1" x14ac:dyDescent="0.45">
      <c r="B56" s="24" t="s">
        <v>202</v>
      </c>
      <c r="E56" s="26">
        <f>E54*E55</f>
        <v>1631170</v>
      </c>
      <c r="F56" s="26">
        <f>F54*F55</f>
        <v>4391765.1999999834</v>
      </c>
      <c r="G56" s="26">
        <f>G54*G55</f>
        <v>8233734.8607999934</v>
      </c>
      <c r="H56" s="26">
        <f>H54*H55</f>
        <v>10994006.765704526</v>
      </c>
      <c r="I56" s="26">
        <f>I54*I55</f>
        <v>12515730.758345241</v>
      </c>
      <c r="J56" s="26">
        <f>SUM(E56:I56)</f>
        <v>37766407.584849745</v>
      </c>
    </row>
    <row r="57" spans="2:12" ht="15.75" customHeight="1" x14ac:dyDescent="0.45"/>
    <row r="58" spans="2:12" ht="15.75" customHeight="1" x14ac:dyDescent="0.45">
      <c r="B58" s="7" t="s">
        <v>203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45">
      <c r="B59" s="13" t="s">
        <v>204</v>
      </c>
      <c r="E59" s="50">
        <f>J51</f>
        <v>71230239.981008008</v>
      </c>
      <c r="F59" s="51"/>
      <c r="L59" s="32" t="s">
        <v>205</v>
      </c>
    </row>
    <row r="60" spans="2:12" ht="15.75" customHeight="1" x14ac:dyDescent="0.45">
      <c r="B60" s="13" t="s">
        <v>206</v>
      </c>
      <c r="E60" s="50">
        <f>J54</f>
        <v>72014739.981007934</v>
      </c>
      <c r="F60" s="51"/>
      <c r="L60" s="32" t="s">
        <v>207</v>
      </c>
    </row>
    <row r="61" spans="2:12" ht="15.75" customHeight="1" x14ac:dyDescent="0.45">
      <c r="B61" s="13" t="s">
        <v>208</v>
      </c>
      <c r="E61" s="50">
        <f>J56</f>
        <v>37766407.584849745</v>
      </c>
      <c r="F61" s="51"/>
      <c r="L61" s="32" t="s">
        <v>209</v>
      </c>
    </row>
    <row r="62" spans="2:12" ht="15.75" customHeight="1" x14ac:dyDescent="0.45">
      <c r="B62" s="13" t="s">
        <v>210</v>
      </c>
      <c r="E62" s="50">
        <f>J51/5</f>
        <v>14246047.996201601</v>
      </c>
      <c r="F62" s="51"/>
      <c r="L62" s="32" t="s">
        <v>211</v>
      </c>
    </row>
    <row r="63" spans="2:12" ht="15.75" customHeight="1" x14ac:dyDescent="0.45">
      <c r="B63" s="13" t="s">
        <v>212</v>
      </c>
      <c r="E63" s="50">
        <f>E15/12</f>
        <v>966.66666666666663</v>
      </c>
      <c r="F63" s="51"/>
      <c r="L63" s="32" t="s">
        <v>213</v>
      </c>
    </row>
    <row r="64" spans="2:12" ht="15.75" customHeight="1" x14ac:dyDescent="0.45">
      <c r="B64" s="13" t="s">
        <v>214</v>
      </c>
      <c r="E64" s="64" t="str">
        <f>IF(E15/12&lt;=Допущения!$C$18,"В бюджете CFO","ПРЕВЫШЕНИЕ бюджета")</f>
        <v>В бюджете CFO</v>
      </c>
      <c r="F64" s="51"/>
      <c r="L64" s="32" t="s">
        <v>215</v>
      </c>
    </row>
    <row r="65" spans="2:12" ht="15.75" customHeight="1" x14ac:dyDescent="0.45">
      <c r="B65" s="13" t="s">
        <v>65</v>
      </c>
      <c r="E65" s="63">
        <f>IFERROR(J51/SUM(Допущения!$C$8:$G$8),0)</f>
        <v>0.86654793164243316</v>
      </c>
      <c r="F65" s="51"/>
      <c r="L65" s="32" t="s">
        <v>216</v>
      </c>
    </row>
    <row r="66" spans="2:12" ht="15.75" customHeight="1" x14ac:dyDescent="0.45">
      <c r="B66" s="13" t="s">
        <v>217</v>
      </c>
      <c r="E66" s="63">
        <f>IFERROR(I51/Допущения!$G$7,0)</f>
        <v>3.3671092551934816</v>
      </c>
      <c r="F66" s="51"/>
      <c r="L66" s="32" t="s">
        <v>218</v>
      </c>
    </row>
    <row r="67" spans="2:12" ht="15.75" customHeight="1" x14ac:dyDescent="0.45">
      <c r="B67" s="13" t="s">
        <v>219</v>
      </c>
      <c r="E67" s="62">
        <f>IFERROR(J51/SUM(Допущения!$C$10:$G$10),0)</f>
        <v>3.7588517140373617E-2</v>
      </c>
      <c r="F67" s="51"/>
      <c r="L67" s="32" t="s">
        <v>220</v>
      </c>
    </row>
    <row r="68" spans="2:12" ht="15.75" customHeight="1" x14ac:dyDescent="0.45">
      <c r="B68" s="13" t="s">
        <v>221</v>
      </c>
      <c r="E68" s="60">
        <f>IFERROR(J15/J51,0)</f>
        <v>5.9136392208746147E-3</v>
      </c>
      <c r="F68" s="51"/>
      <c r="L68" s="32" t="s">
        <v>222</v>
      </c>
    </row>
    <row r="69" spans="2:12" ht="15.75" customHeight="1" x14ac:dyDescent="0.45">
      <c r="B69" s="13" t="s">
        <v>223</v>
      </c>
      <c r="E69" s="60">
        <f>IFERROR(J32/J51,0)</f>
        <v>0.8090384086220298</v>
      </c>
      <c r="F69" s="51"/>
      <c r="L69" s="32" t="s">
        <v>224</v>
      </c>
    </row>
    <row r="70" spans="2:12" ht="15.75" customHeight="1" x14ac:dyDescent="0.45">
      <c r="B70" s="13" t="s">
        <v>225</v>
      </c>
      <c r="E70" s="60">
        <f>IFERROR(J40/J51,0)</f>
        <v>5.1342286660484265E-2</v>
      </c>
      <c r="F70" s="51"/>
      <c r="L70" s="32" t="s">
        <v>226</v>
      </c>
    </row>
    <row r="71" spans="2:12" ht="15.75" customHeight="1" x14ac:dyDescent="0.45"/>
    <row r="72" spans="2:12" ht="15.75" customHeight="1" x14ac:dyDescent="0.45">
      <c r="B72" s="61" t="s">
        <v>227</v>
      </c>
      <c r="C72" s="48"/>
      <c r="D72" s="48"/>
      <c r="E72" s="48"/>
      <c r="F72" s="48"/>
      <c r="G72" s="48"/>
      <c r="H72" s="48"/>
      <c r="I72" s="48"/>
      <c r="J72" s="48"/>
      <c r="K72" s="48"/>
      <c r="L72" s="48"/>
    </row>
    <row r="73" spans="2:12" ht="15" customHeight="1" x14ac:dyDescent="0.45">
      <c r="B73" s="52" t="s">
        <v>228</v>
      </c>
      <c r="C73" s="53"/>
      <c r="D73" s="53"/>
      <c r="E73" s="53"/>
      <c r="F73" s="53"/>
      <c r="G73" s="53"/>
      <c r="H73" s="53"/>
      <c r="I73" s="53"/>
      <c r="J73" s="53"/>
      <c r="K73" s="53"/>
      <c r="L73" s="54"/>
    </row>
    <row r="74" spans="2:12" ht="15.75" customHeight="1" x14ac:dyDescent="0.45">
      <c r="B74" s="55"/>
      <c r="C74" s="48"/>
      <c r="D74" s="48"/>
      <c r="E74" s="48"/>
      <c r="F74" s="48"/>
      <c r="G74" s="48"/>
      <c r="H74" s="48"/>
      <c r="I74" s="48"/>
      <c r="J74" s="48"/>
      <c r="K74" s="48"/>
      <c r="L74" s="56"/>
    </row>
    <row r="75" spans="2:12" ht="15.75" customHeight="1" x14ac:dyDescent="0.45">
      <c r="B75" s="57"/>
      <c r="C75" s="58"/>
      <c r="D75" s="58"/>
      <c r="E75" s="58"/>
      <c r="F75" s="58"/>
      <c r="G75" s="58"/>
      <c r="H75" s="58"/>
      <c r="I75" s="58"/>
      <c r="J75" s="58"/>
      <c r="K75" s="58"/>
      <c r="L75" s="59"/>
    </row>
    <row r="76" spans="2:12" ht="15.75" customHeight="1" x14ac:dyDescent="0.45"/>
    <row r="77" spans="2:12" ht="15.75" customHeight="1" x14ac:dyDescent="0.45">
      <c r="B77" t="s">
        <v>229</v>
      </c>
      <c r="E77" s="35">
        <f>(E15+E24)/12</f>
        <v>1566.6666666666667</v>
      </c>
      <c r="L77" t="s">
        <v>230</v>
      </c>
    </row>
    <row r="78" spans="2:12" ht="15.75" customHeight="1" x14ac:dyDescent="0.45">
      <c r="B78" t="s">
        <v>231</v>
      </c>
      <c r="E78" s="35" t="str">
        <f>IF((E15+E24)/12&lt;=Допущения!$C$18,"В бюджете CFO","ПРЕВЫШЕНИЕ бюджета")</f>
        <v>В бюджете CFO</v>
      </c>
    </row>
    <row r="79" spans="2:12" ht="15.75" customHeight="1" x14ac:dyDescent="0.45"/>
    <row r="80" spans="2:12" ht="15.75" customHeight="1" x14ac:dyDescent="0.45">
      <c r="B80" t="s">
        <v>232</v>
      </c>
      <c r="E80" s="36">
        <v>0.999</v>
      </c>
      <c r="F80" s="36">
        <v>0.99950000000000006</v>
      </c>
      <c r="G80" s="36">
        <v>0.99990000000000001</v>
      </c>
      <c r="H80" s="36">
        <v>0.99990000000000001</v>
      </c>
      <c r="I80" s="36">
        <v>0.99990000000000001</v>
      </c>
      <c r="L80" t="s">
        <v>233</v>
      </c>
    </row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type="list" allowBlank="1" sqref="C6:C51" xr:uid="{00000000-0002-0000-03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60" workbookViewId="0"/>
  </sheetViews>
  <sheetFormatPr defaultColWidth="14.3984375" defaultRowHeight="15" customHeight="1" x14ac:dyDescent="0.45"/>
  <cols>
    <col min="1" max="1" width="3" style="31" customWidth="1"/>
    <col min="2" max="2" width="44" style="31" customWidth="1"/>
    <col min="3" max="3" width="16" style="31" customWidth="1"/>
    <col min="4" max="4" width="15" style="31" customWidth="1"/>
    <col min="5" max="10" width="14" style="31" customWidth="1"/>
    <col min="11" max="11" width="10" style="31" customWidth="1"/>
    <col min="12" max="12" width="46" style="31" customWidth="1"/>
    <col min="13" max="26" width="8.73046875" style="31" customWidth="1"/>
  </cols>
  <sheetData>
    <row r="1" spans="2:12" ht="14.25" x14ac:dyDescent="0.45"/>
    <row r="2" spans="2:12" ht="17.649999999999999" x14ac:dyDescent="0.5">
      <c r="B2" s="1" t="s">
        <v>234</v>
      </c>
    </row>
    <row r="3" spans="2:12" ht="14.25" x14ac:dyDescent="0.45">
      <c r="B3" s="6" t="s">
        <v>129</v>
      </c>
    </row>
    <row r="4" spans="2:12" ht="14.25" x14ac:dyDescent="0.45"/>
    <row r="5" spans="2:12" ht="31.5" customHeight="1" x14ac:dyDescent="0.45">
      <c r="B5" s="9" t="s">
        <v>130</v>
      </c>
      <c r="C5" s="9" t="s">
        <v>131</v>
      </c>
      <c r="D5" s="9" t="s">
        <v>132</v>
      </c>
      <c r="E5" s="9" t="s">
        <v>79</v>
      </c>
      <c r="F5" s="9" t="s">
        <v>80</v>
      </c>
      <c r="G5" s="9" t="s">
        <v>81</v>
      </c>
      <c r="H5" s="9" t="s">
        <v>82</v>
      </c>
      <c r="I5" s="9" t="s">
        <v>83</v>
      </c>
      <c r="J5" s="9" t="s">
        <v>133</v>
      </c>
      <c r="K5" s="9" t="s">
        <v>134</v>
      </c>
      <c r="L5" s="9" t="s">
        <v>84</v>
      </c>
    </row>
    <row r="6" spans="2:12" ht="14.25" x14ac:dyDescent="0.45">
      <c r="B6" s="7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ht="23.25" x14ac:dyDescent="0.45">
      <c r="B7" s="10" t="s">
        <v>136</v>
      </c>
      <c r="C7" s="15" t="s">
        <v>121</v>
      </c>
      <c r="D7" s="16">
        <v>7600</v>
      </c>
      <c r="E7" s="21">
        <f>IF($D7="","",$D7*INDEX(Допущения!$C$25:$G$30,MATCH($C7,Допущения!$B$25:$B$30,0),1))</f>
        <v>7600</v>
      </c>
      <c r="F7" s="21">
        <f>IF($D7="","",$D7*INDEX(Допущения!$C$25:$G$30,MATCH($C7,Допущения!$B$25:$B$30,0),2))</f>
        <v>19000</v>
      </c>
      <c r="G7" s="21">
        <f>IF($D7="","",$D7*INDEX(Допущения!$C$25:$G$30,MATCH($C7,Допущения!$B$25:$B$30,0),3))</f>
        <v>38000</v>
      </c>
      <c r="H7" s="21">
        <f>IF($D7="","",$D7*INDEX(Допущения!$C$25:$G$30,MATCH($C7,Допущения!$B$25:$B$30,0),4))</f>
        <v>53200</v>
      </c>
      <c r="I7" s="21">
        <f>IF($D7="","",$D7*INDEX(Допущения!$C$25:$G$30,MATCH($C7,Допущения!$B$25:$B$30,0),5))</f>
        <v>68400</v>
      </c>
      <c r="J7" s="21">
        <f t="shared" ref="J7:J14" si="0">SUM(E7:I7)</f>
        <v>186200</v>
      </c>
      <c r="K7" s="22"/>
      <c r="L7" s="23" t="s">
        <v>235</v>
      </c>
    </row>
    <row r="8" spans="2:12" ht="23.25" x14ac:dyDescent="0.45">
      <c r="B8" s="10" t="s">
        <v>138</v>
      </c>
      <c r="C8" s="15" t="s">
        <v>121</v>
      </c>
      <c r="D8" s="16">
        <v>9700</v>
      </c>
      <c r="E8" s="21">
        <f>IF($D8="","",$D8*INDEX(Допущения!$C$25:$G$30,MATCH($C8,Допущения!$B$25:$B$30,0),1))</f>
        <v>9700</v>
      </c>
      <c r="F8" s="21">
        <f>IF($D8="","",$D8*INDEX(Допущения!$C$25:$G$30,MATCH($C8,Допущения!$B$25:$B$30,0),2))</f>
        <v>24250</v>
      </c>
      <c r="G8" s="21">
        <f>IF($D8="","",$D8*INDEX(Допущения!$C$25:$G$30,MATCH($C8,Допущения!$B$25:$B$30,0),3))</f>
        <v>48500</v>
      </c>
      <c r="H8" s="21">
        <f>IF($D8="","",$D8*INDEX(Допущения!$C$25:$G$30,MATCH($C8,Допущения!$B$25:$B$30,0),4))</f>
        <v>67900</v>
      </c>
      <c r="I8" s="21">
        <f>IF($D8="","",$D8*INDEX(Допущения!$C$25:$G$30,MATCH($C8,Допущения!$B$25:$B$30,0),5))</f>
        <v>87300</v>
      </c>
      <c r="J8" s="21">
        <f t="shared" si="0"/>
        <v>237650</v>
      </c>
      <c r="K8" s="22"/>
      <c r="L8" s="23" t="s">
        <v>236</v>
      </c>
    </row>
    <row r="9" spans="2:12" ht="14.25" x14ac:dyDescent="0.45">
      <c r="B9" s="10" t="s">
        <v>140</v>
      </c>
      <c r="C9" s="15" t="s">
        <v>121</v>
      </c>
      <c r="D9" s="16">
        <v>200</v>
      </c>
      <c r="E9" s="21">
        <f>IF($D9="","",$D9*INDEX(Допущения!$C$25:$G$30,MATCH($C9,Допущения!$B$25:$B$30,0),1))</f>
        <v>200</v>
      </c>
      <c r="F9" s="21">
        <f>IF($D9="","",$D9*INDEX(Допущения!$C$25:$G$30,MATCH($C9,Допущения!$B$25:$B$30,0),2))</f>
        <v>500</v>
      </c>
      <c r="G9" s="21">
        <f>IF($D9="","",$D9*INDEX(Допущения!$C$25:$G$30,MATCH($C9,Допущения!$B$25:$B$30,0),3))</f>
        <v>1000</v>
      </c>
      <c r="H9" s="21">
        <f>IF($D9="","",$D9*INDEX(Допущения!$C$25:$G$30,MATCH($C9,Допущения!$B$25:$B$30,0),4))</f>
        <v>1400</v>
      </c>
      <c r="I9" s="21">
        <f>IF($D9="","",$D9*INDEX(Допущения!$C$25:$G$30,MATCH($C9,Допущения!$B$25:$B$30,0),5))</f>
        <v>1800</v>
      </c>
      <c r="J9" s="21">
        <f t="shared" si="0"/>
        <v>4900</v>
      </c>
      <c r="K9" s="22"/>
      <c r="L9" s="23" t="s">
        <v>237</v>
      </c>
    </row>
    <row r="10" spans="2:12" ht="14.25" x14ac:dyDescent="0.45">
      <c r="B10" s="10" t="s">
        <v>142</v>
      </c>
      <c r="C10" s="15" t="s">
        <v>121</v>
      </c>
      <c r="D10" s="16">
        <v>3200</v>
      </c>
      <c r="E10" s="21">
        <f>IF($D10="","",$D10*INDEX(Допущения!$C$25:$G$30,MATCH($C10,Допущения!$B$25:$B$30,0),1))</f>
        <v>3200</v>
      </c>
      <c r="F10" s="21">
        <f>IF($D10="","",$D10*INDEX(Допущения!$C$25:$G$30,MATCH($C10,Допущения!$B$25:$B$30,0),2))</f>
        <v>8000</v>
      </c>
      <c r="G10" s="21">
        <f>IF($D10="","",$D10*INDEX(Допущения!$C$25:$G$30,MATCH($C10,Допущения!$B$25:$B$30,0),3))</f>
        <v>16000</v>
      </c>
      <c r="H10" s="21">
        <f>IF($D10="","",$D10*INDEX(Допущения!$C$25:$G$30,MATCH($C10,Допущения!$B$25:$B$30,0),4))</f>
        <v>22400</v>
      </c>
      <c r="I10" s="21">
        <f>IF($D10="","",$D10*INDEX(Допущения!$C$25:$G$30,MATCH($C10,Допущения!$B$25:$B$30,0),5))</f>
        <v>28800</v>
      </c>
      <c r="J10" s="21">
        <f t="shared" si="0"/>
        <v>78400</v>
      </c>
      <c r="K10" s="22"/>
      <c r="L10" s="23" t="s">
        <v>238</v>
      </c>
    </row>
    <row r="11" spans="2:12" ht="23.25" x14ac:dyDescent="0.45">
      <c r="B11" s="10" t="s">
        <v>144</v>
      </c>
      <c r="C11" s="15" t="s">
        <v>123</v>
      </c>
      <c r="D11" s="16">
        <v>7500</v>
      </c>
      <c r="E11" s="21">
        <f>IF($D11="","",$D11*INDEX(Допущения!$C$25:$G$30,MATCH($C11,Допущения!$B$25:$B$30,0),1))</f>
        <v>7500</v>
      </c>
      <c r="F11" s="21">
        <f>IF($D11="","",$D11*INDEX(Допущения!$C$25:$G$30,MATCH($C11,Допущения!$B$25:$B$30,0),2))</f>
        <v>37500</v>
      </c>
      <c r="G11" s="21">
        <f>IF($D11="","",$D11*INDEX(Допущения!$C$25:$G$30,MATCH($C11,Допущения!$B$25:$B$30,0),3))</f>
        <v>93750</v>
      </c>
      <c r="H11" s="21">
        <f>IF($D11="","",$D11*INDEX(Допущения!$C$25:$G$30,MATCH($C11,Допущения!$B$25:$B$30,0),4))</f>
        <v>156250</v>
      </c>
      <c r="I11" s="21">
        <f>IF($D11="","",$D11*INDEX(Допущения!$C$25:$G$30,MATCH($C11,Допущения!$B$25:$B$30,0),5))</f>
        <v>218750</v>
      </c>
      <c r="J11" s="21">
        <f t="shared" si="0"/>
        <v>513750</v>
      </c>
      <c r="K11" s="22"/>
      <c r="L11" s="23" t="s">
        <v>239</v>
      </c>
    </row>
    <row r="12" spans="2:12" ht="23.25" x14ac:dyDescent="0.45">
      <c r="B12" s="10" t="s">
        <v>146</v>
      </c>
      <c r="C12" s="15" t="s">
        <v>121</v>
      </c>
      <c r="D12" s="16">
        <v>5200</v>
      </c>
      <c r="E12" s="21">
        <f>IF($D12="","",$D12*INDEX(Допущения!$C$25:$G$30,MATCH($C12,Допущения!$B$25:$B$30,0),1))</f>
        <v>5200</v>
      </c>
      <c r="F12" s="21">
        <f>IF($D12="","",$D12*INDEX(Допущения!$C$25:$G$30,MATCH($C12,Допущения!$B$25:$B$30,0),2))</f>
        <v>13000</v>
      </c>
      <c r="G12" s="21">
        <f>IF($D12="","",$D12*INDEX(Допущения!$C$25:$G$30,MATCH($C12,Допущения!$B$25:$B$30,0),3))</f>
        <v>26000</v>
      </c>
      <c r="H12" s="21">
        <f>IF($D12="","",$D12*INDEX(Допущения!$C$25:$G$30,MATCH($C12,Допущения!$B$25:$B$30,0),4))</f>
        <v>36400</v>
      </c>
      <c r="I12" s="21">
        <f>IF($D12="","",$D12*INDEX(Допущения!$C$25:$G$30,MATCH($C12,Допущения!$B$25:$B$30,0),5))</f>
        <v>46800</v>
      </c>
      <c r="J12" s="21">
        <f t="shared" si="0"/>
        <v>127400</v>
      </c>
      <c r="K12" s="22"/>
      <c r="L12" s="23" t="s">
        <v>240</v>
      </c>
    </row>
    <row r="13" spans="2:12" ht="23.25" x14ac:dyDescent="0.45">
      <c r="B13" s="10" t="s">
        <v>148</v>
      </c>
      <c r="C13" s="15" t="s">
        <v>117</v>
      </c>
      <c r="D13" s="16">
        <v>1300</v>
      </c>
      <c r="E13" s="21">
        <f>IF($D13="","",$D13*INDEX(Допущения!$C$25:$G$30,MATCH($C13,Допущения!$B$25:$B$30,0),1))</f>
        <v>1300</v>
      </c>
      <c r="F13" s="21">
        <f>IF($D13="","",$D13*INDEX(Допущения!$C$25:$G$30,MATCH($C13,Допущения!$B$25:$B$30,0),2))</f>
        <v>1404</v>
      </c>
      <c r="G13" s="21">
        <f>IF($D13="","",$D13*INDEX(Допущения!$C$25:$G$30,MATCH($C13,Допущения!$B$25:$B$30,0),3))</f>
        <v>1516.3200000000002</v>
      </c>
      <c r="H13" s="21">
        <f>IF($D13="","",$D13*INDEX(Допущения!$C$25:$G$30,MATCH($C13,Допущения!$B$25:$B$30,0),4))</f>
        <v>1637.6256000000003</v>
      </c>
      <c r="I13" s="21">
        <f>IF($D13="","",$D13*INDEX(Допущения!$C$25:$G$30,MATCH($C13,Допущения!$B$25:$B$30,0),5))</f>
        <v>1768.6356480000004</v>
      </c>
      <c r="J13" s="21">
        <f t="shared" si="0"/>
        <v>7626.5812480000004</v>
      </c>
      <c r="K13" s="22"/>
      <c r="L13" s="23" t="s">
        <v>241</v>
      </c>
    </row>
    <row r="14" spans="2:12" ht="23.25" x14ac:dyDescent="0.45">
      <c r="B14" s="10" t="s">
        <v>242</v>
      </c>
      <c r="C14" s="15" t="s">
        <v>115</v>
      </c>
      <c r="D14" s="16"/>
      <c r="E14" s="16">
        <v>0</v>
      </c>
      <c r="F14" s="16">
        <v>0</v>
      </c>
      <c r="G14" s="16">
        <v>75000</v>
      </c>
      <c r="H14" s="16">
        <v>100000</v>
      </c>
      <c r="I14" s="16">
        <v>130000</v>
      </c>
      <c r="J14" s="21">
        <f t="shared" si="0"/>
        <v>305000</v>
      </c>
      <c r="K14" s="22"/>
      <c r="L14" s="23" t="s">
        <v>243</v>
      </c>
    </row>
    <row r="15" spans="2:12" ht="14.25" x14ac:dyDescent="0.45">
      <c r="B15" s="24" t="s">
        <v>152</v>
      </c>
      <c r="C15" s="25"/>
      <c r="D15" s="25"/>
      <c r="E15" s="26">
        <f t="shared" ref="E15:J15" si="1">SUM(E7:E14)</f>
        <v>34700</v>
      </c>
      <c r="F15" s="26">
        <f t="shared" si="1"/>
        <v>103654</v>
      </c>
      <c r="G15" s="26">
        <f t="shared" si="1"/>
        <v>299766.32</v>
      </c>
      <c r="H15" s="26">
        <f t="shared" si="1"/>
        <v>439187.62560000003</v>
      </c>
      <c r="I15" s="26">
        <f t="shared" si="1"/>
        <v>583618.63564800005</v>
      </c>
      <c r="J15" s="26">
        <f t="shared" si="1"/>
        <v>1460926.581248</v>
      </c>
      <c r="K15" s="27">
        <f>IFERROR(J15/$J$51,0)</f>
        <v>1.9782973379912434E-2</v>
      </c>
      <c r="L15" s="25"/>
    </row>
    <row r="16" spans="2:12" ht="14.25" x14ac:dyDescent="0.45">
      <c r="C16" s="28"/>
    </row>
    <row r="17" spans="2:12" ht="14.25" x14ac:dyDescent="0.45">
      <c r="B17" s="7" t="s">
        <v>153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ht="23.25" x14ac:dyDescent="0.45">
      <c r="B18" s="10" t="s">
        <v>154</v>
      </c>
      <c r="C18" s="15" t="s">
        <v>121</v>
      </c>
      <c r="D18" s="16">
        <v>6000</v>
      </c>
      <c r="E18" s="21">
        <f>IF($D18="","",$D18*INDEX(Допущения!$C$25:$G$30,MATCH($C18,Допущения!$B$25:$B$30,0),1))</f>
        <v>6000</v>
      </c>
      <c r="F18" s="21">
        <f>IF($D18="","",$D18*INDEX(Допущения!$C$25:$G$30,MATCH($C18,Допущения!$B$25:$B$30,0),2))</f>
        <v>15000</v>
      </c>
      <c r="G18" s="21">
        <f>IF($D18="","",$D18*INDEX(Допущения!$C$25:$G$30,MATCH($C18,Допущения!$B$25:$B$30,0),3))</f>
        <v>30000</v>
      </c>
      <c r="H18" s="21">
        <f>IF($D18="","",$D18*INDEX(Допущения!$C$25:$G$30,MATCH($C18,Допущения!$B$25:$B$30,0),4))</f>
        <v>42000</v>
      </c>
      <c r="I18" s="21">
        <f>IF($D18="","",$D18*INDEX(Допущения!$C$25:$G$30,MATCH($C18,Допущения!$B$25:$B$30,0),5))</f>
        <v>54000</v>
      </c>
      <c r="J18" s="21">
        <f t="shared" ref="J18:J23" si="2">SUM(E18:I18)</f>
        <v>147000</v>
      </c>
      <c r="K18" s="22"/>
      <c r="L18" s="23" t="s">
        <v>244</v>
      </c>
    </row>
    <row r="19" spans="2:12" ht="14.25" x14ac:dyDescent="0.45">
      <c r="B19" s="10" t="s">
        <v>156</v>
      </c>
      <c r="C19" s="15" t="s">
        <v>117</v>
      </c>
      <c r="D19" s="16">
        <v>2400</v>
      </c>
      <c r="E19" s="21">
        <f>IF($D19="","",$D19*INDEX(Допущения!$C$25:$G$30,MATCH($C19,Допущения!$B$25:$B$30,0),1))</f>
        <v>2400</v>
      </c>
      <c r="F19" s="21">
        <f>IF($D19="","",$D19*INDEX(Допущения!$C$25:$G$30,MATCH($C19,Допущения!$B$25:$B$30,0),2))</f>
        <v>2592</v>
      </c>
      <c r="G19" s="21">
        <f>IF($D19="","",$D19*INDEX(Допущения!$C$25:$G$30,MATCH($C19,Допущения!$B$25:$B$30,0),3))</f>
        <v>2799.36</v>
      </c>
      <c r="H19" s="21">
        <f>IF($D19="","",$D19*INDEX(Допущения!$C$25:$G$30,MATCH($C19,Допущения!$B$25:$B$30,0),4))</f>
        <v>3023.3088000000002</v>
      </c>
      <c r="I19" s="21">
        <f>IF($D19="","",$D19*INDEX(Допущения!$C$25:$G$30,MATCH($C19,Допущения!$B$25:$B$30,0),5))</f>
        <v>3265.1735040000008</v>
      </c>
      <c r="J19" s="21">
        <f t="shared" si="2"/>
        <v>14079.842304000002</v>
      </c>
      <c r="K19" s="22"/>
      <c r="L19" s="23" t="s">
        <v>245</v>
      </c>
    </row>
    <row r="20" spans="2:12" ht="14.25" x14ac:dyDescent="0.45">
      <c r="B20" s="10" t="s">
        <v>158</v>
      </c>
      <c r="C20" s="15" t="s">
        <v>121</v>
      </c>
      <c r="D20" s="16">
        <v>3600</v>
      </c>
      <c r="E20" s="21">
        <f>IF($D20="","",$D20*INDEX(Допущения!$C$25:$G$30,MATCH($C20,Допущения!$B$25:$B$30,0),1))</f>
        <v>3600</v>
      </c>
      <c r="F20" s="21">
        <f>IF($D20="","",$D20*INDEX(Допущения!$C$25:$G$30,MATCH($C20,Допущения!$B$25:$B$30,0),2))</f>
        <v>9000</v>
      </c>
      <c r="G20" s="21">
        <f>IF($D20="","",$D20*INDEX(Допущения!$C$25:$G$30,MATCH($C20,Допущения!$B$25:$B$30,0),3))</f>
        <v>18000</v>
      </c>
      <c r="H20" s="21">
        <f>IF($D20="","",$D20*INDEX(Допущения!$C$25:$G$30,MATCH($C20,Допущения!$B$25:$B$30,0),4))</f>
        <v>25200</v>
      </c>
      <c r="I20" s="21">
        <f>IF($D20="","",$D20*INDEX(Допущения!$C$25:$G$30,MATCH($C20,Допущения!$B$25:$B$30,0),5))</f>
        <v>32400</v>
      </c>
      <c r="J20" s="21">
        <f t="shared" si="2"/>
        <v>88200</v>
      </c>
      <c r="K20" s="22"/>
      <c r="L20" s="23" t="s">
        <v>246</v>
      </c>
    </row>
    <row r="21" spans="2:12" ht="15.75" customHeight="1" x14ac:dyDescent="0.45">
      <c r="B21" s="10" t="s">
        <v>160</v>
      </c>
      <c r="C21" s="15" t="s">
        <v>117</v>
      </c>
      <c r="D21" s="16">
        <v>1200</v>
      </c>
      <c r="E21" s="21">
        <f>IF($D21="","",$D21*INDEX(Допущения!$C$25:$G$30,MATCH($C21,Допущения!$B$25:$B$30,0),1))</f>
        <v>1200</v>
      </c>
      <c r="F21" s="21">
        <f>IF($D21="","",$D21*INDEX(Допущения!$C$25:$G$30,MATCH($C21,Допущения!$B$25:$B$30,0),2))</f>
        <v>1296</v>
      </c>
      <c r="G21" s="21">
        <f>IF($D21="","",$D21*INDEX(Допущения!$C$25:$G$30,MATCH($C21,Допущения!$B$25:$B$30,0),3))</f>
        <v>1399.68</v>
      </c>
      <c r="H21" s="21">
        <f>IF($D21="","",$D21*INDEX(Допущения!$C$25:$G$30,MATCH($C21,Допущения!$B$25:$B$30,0),4))</f>
        <v>1511.6544000000001</v>
      </c>
      <c r="I21" s="21">
        <f>IF($D21="","",$D21*INDEX(Допущения!$C$25:$G$30,MATCH($C21,Допущения!$B$25:$B$30,0),5))</f>
        <v>1632.5867520000004</v>
      </c>
      <c r="J21" s="21">
        <f t="shared" si="2"/>
        <v>7039.9211520000008</v>
      </c>
      <c r="K21" s="22"/>
      <c r="L21" s="23" t="s">
        <v>161</v>
      </c>
    </row>
    <row r="22" spans="2:12" ht="15.75" customHeight="1" x14ac:dyDescent="0.45">
      <c r="B22" s="10" t="s">
        <v>162</v>
      </c>
      <c r="C22" s="15" t="s">
        <v>117</v>
      </c>
      <c r="D22" s="16">
        <v>1800</v>
      </c>
      <c r="E22" s="21">
        <f>IF($D22="","",$D22*INDEX(Допущения!$C$25:$G$30,MATCH($C22,Допущения!$B$25:$B$30,0),1))</f>
        <v>1800</v>
      </c>
      <c r="F22" s="21">
        <f>IF($D22="","",$D22*INDEX(Допущения!$C$25:$G$30,MATCH($C22,Допущения!$B$25:$B$30,0),2))</f>
        <v>1944.0000000000002</v>
      </c>
      <c r="G22" s="21">
        <f>IF($D22="","",$D22*INDEX(Допущения!$C$25:$G$30,MATCH($C22,Допущения!$B$25:$B$30,0),3))</f>
        <v>2099.52</v>
      </c>
      <c r="H22" s="21">
        <f>IF($D22="","",$D22*INDEX(Допущения!$C$25:$G$30,MATCH($C22,Допущения!$B$25:$B$30,0),4))</f>
        <v>2267.4816000000001</v>
      </c>
      <c r="I22" s="21">
        <f>IF($D22="","",$D22*INDEX(Допущения!$C$25:$G$30,MATCH($C22,Допущения!$B$25:$B$30,0),5))</f>
        <v>2448.8801280000007</v>
      </c>
      <c r="J22" s="21">
        <f t="shared" si="2"/>
        <v>10559.881728</v>
      </c>
      <c r="K22" s="22"/>
      <c r="L22" s="23" t="s">
        <v>163</v>
      </c>
    </row>
    <row r="23" spans="2:12" ht="15.75" customHeight="1" x14ac:dyDescent="0.45">
      <c r="B23" s="10"/>
      <c r="C23" s="15" t="s">
        <v>115</v>
      </c>
      <c r="D23" s="16"/>
      <c r="E23" s="21" t="str">
        <f>IF($D23="","",$D23*INDEX(Допущения!$C$25:$G$30,MATCH($C23,Допущения!$B$25:$B$30,0),1))</f>
        <v/>
      </c>
      <c r="F23" s="21" t="str">
        <f>IF($D23="","",$D23*INDEX(Допущения!$C$25:$G$30,MATCH($C23,Допущения!$B$25:$B$30,0),2))</f>
        <v/>
      </c>
      <c r="G23" s="21" t="str">
        <f>IF($D23="","",$D23*INDEX(Допущения!$C$25:$G$30,MATCH($C23,Допущения!$B$25:$B$30,0),3))</f>
        <v/>
      </c>
      <c r="H23" s="21" t="str">
        <f>IF($D23="","",$D23*INDEX(Допущения!$C$25:$G$30,MATCH($C23,Допущения!$B$25:$B$30,0),4))</f>
        <v/>
      </c>
      <c r="I23" s="21" t="str">
        <f>IF($D23="","",$D23*INDEX(Допущения!$C$25:$G$30,MATCH($C23,Допущения!$B$25:$B$30,0),5))</f>
        <v/>
      </c>
      <c r="J23" s="21">
        <f t="shared" si="2"/>
        <v>0</v>
      </c>
      <c r="K23" s="22"/>
      <c r="L23" s="23" t="s">
        <v>164</v>
      </c>
    </row>
    <row r="24" spans="2:12" ht="15.75" customHeight="1" x14ac:dyDescent="0.45">
      <c r="B24" s="24" t="s">
        <v>152</v>
      </c>
      <c r="C24" s="25"/>
      <c r="D24" s="25"/>
      <c r="E24" s="26">
        <f t="shared" ref="E24:J24" si="3">SUM(E18:E23)</f>
        <v>15000</v>
      </c>
      <c r="F24" s="26">
        <f t="shared" si="3"/>
        <v>29832</v>
      </c>
      <c r="G24" s="26">
        <f t="shared" si="3"/>
        <v>54298.559999999998</v>
      </c>
      <c r="H24" s="26">
        <f t="shared" si="3"/>
        <v>74002.444799999997</v>
      </c>
      <c r="I24" s="26">
        <f t="shared" si="3"/>
        <v>93746.640384000013</v>
      </c>
      <c r="J24" s="26">
        <f t="shared" si="3"/>
        <v>266879.64518399996</v>
      </c>
      <c r="K24" s="27">
        <f>IFERROR(J24/$J$51,0)</f>
        <v>3.6139207706148884E-3</v>
      </c>
      <c r="L24" s="25"/>
    </row>
    <row r="25" spans="2:12" ht="15.75" customHeight="1" x14ac:dyDescent="0.45">
      <c r="C25" s="28"/>
    </row>
    <row r="26" spans="2:12" ht="15.75" customHeight="1" x14ac:dyDescent="0.45">
      <c r="B26" s="7" t="s">
        <v>165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45">
      <c r="B27" s="10" t="s">
        <v>166</v>
      </c>
      <c r="C27" s="15" t="s">
        <v>125</v>
      </c>
      <c r="D27" s="16">
        <v>480000</v>
      </c>
      <c r="E27" s="21">
        <f>IF($D27="","",$D27*INDEX(Допущения!$C$25:$G$30,MATCH($C27,Допущения!$B$25:$B$30,0),1))</f>
        <v>480000</v>
      </c>
      <c r="F27" s="21">
        <f>IF($D27="","",$D27*INDEX(Допущения!$C$25:$G$30,MATCH($C27,Допущения!$B$25:$B$30,0),2))</f>
        <v>2520000</v>
      </c>
      <c r="G27" s="21">
        <f>IF($D27="","",$D27*INDEX(Допущения!$C$25:$G$30,MATCH($C27,Допущения!$B$25:$B$30,0),3))</f>
        <v>6600000</v>
      </c>
      <c r="H27" s="21">
        <f>IF($D27="","",$D27*INDEX(Допущения!$C$25:$G$30,MATCH($C27,Допущения!$B$25:$B$30,0),4))</f>
        <v>11500000</v>
      </c>
      <c r="I27" s="21">
        <f>IF($D27="","",$D27*INDEX(Допущения!$C$25:$G$30,MATCH($C27,Допущения!$B$25:$B$30,0),5))</f>
        <v>16800000</v>
      </c>
      <c r="J27" s="21">
        <f>SUM(E27:I27)</f>
        <v>37900000</v>
      </c>
      <c r="K27" s="22"/>
      <c r="L27" s="23" t="s">
        <v>167</v>
      </c>
    </row>
    <row r="28" spans="2:12" ht="15.75" customHeight="1" x14ac:dyDescent="0.45">
      <c r="B28" s="10" t="s">
        <v>168</v>
      </c>
      <c r="C28" s="15" t="s">
        <v>123</v>
      </c>
      <c r="D28" s="16">
        <v>90000</v>
      </c>
      <c r="E28" s="21">
        <f>IF($D28="","",$D28*INDEX(Допущения!$C$25:$G$30,MATCH($C28,Допущения!$B$25:$B$30,0),1))</f>
        <v>90000</v>
      </c>
      <c r="F28" s="21">
        <f>IF($D28="","",$D28*INDEX(Допущения!$C$25:$G$30,MATCH($C28,Допущения!$B$25:$B$30,0),2))</f>
        <v>450000</v>
      </c>
      <c r="G28" s="21">
        <f>IF($D28="","",$D28*INDEX(Допущения!$C$25:$G$30,MATCH($C28,Допущения!$B$25:$B$30,0),3))</f>
        <v>1125000</v>
      </c>
      <c r="H28" s="21">
        <f>IF($D28="","",$D28*INDEX(Допущения!$C$25:$G$30,MATCH($C28,Допущения!$B$25:$B$30,0),4))</f>
        <v>1875000</v>
      </c>
      <c r="I28" s="21">
        <f>IF($D28="","",$D28*INDEX(Допущения!$C$25:$G$30,MATCH($C28,Допущения!$B$25:$B$30,0),5))</f>
        <v>2625000</v>
      </c>
      <c r="J28" s="21">
        <f>SUM(E28:I28)</f>
        <v>6165000</v>
      </c>
      <c r="K28" s="22"/>
      <c r="L28" s="23" t="s">
        <v>169</v>
      </c>
    </row>
    <row r="29" spans="2:12" ht="15.75" customHeight="1" x14ac:dyDescent="0.45">
      <c r="B29" s="10" t="s">
        <v>170</v>
      </c>
      <c r="C29" s="15" t="s">
        <v>123</v>
      </c>
      <c r="D29" s="16">
        <v>18000</v>
      </c>
      <c r="E29" s="21">
        <f>IF($D29="","",$D29*INDEX(Допущения!$C$25:$G$30,MATCH($C29,Допущения!$B$25:$B$30,0),1))</f>
        <v>18000</v>
      </c>
      <c r="F29" s="21">
        <f>IF($D29="","",$D29*INDEX(Допущения!$C$25:$G$30,MATCH($C29,Допущения!$B$25:$B$30,0),2))</f>
        <v>90000</v>
      </c>
      <c r="G29" s="21">
        <f>IF($D29="","",$D29*INDEX(Допущения!$C$25:$G$30,MATCH($C29,Допущения!$B$25:$B$30,0),3))</f>
        <v>225000</v>
      </c>
      <c r="H29" s="21">
        <f>IF($D29="","",$D29*INDEX(Допущения!$C$25:$G$30,MATCH($C29,Допущения!$B$25:$B$30,0),4))</f>
        <v>375000</v>
      </c>
      <c r="I29" s="21">
        <f>IF($D29="","",$D29*INDEX(Допущения!$C$25:$G$30,MATCH($C29,Допущения!$B$25:$B$30,0),5))</f>
        <v>525000</v>
      </c>
      <c r="J29" s="21">
        <f>SUM(E29:I29)</f>
        <v>1233000</v>
      </c>
      <c r="K29" s="22"/>
      <c r="L29" s="23" t="s">
        <v>171</v>
      </c>
    </row>
    <row r="30" spans="2:12" ht="15.75" customHeight="1" x14ac:dyDescent="0.45">
      <c r="B30" s="10" t="s">
        <v>172</v>
      </c>
      <c r="C30" s="15" t="s">
        <v>123</v>
      </c>
      <c r="D30" s="16">
        <v>180000</v>
      </c>
      <c r="E30" s="21">
        <f>IF($D30="","",$D30*INDEX(Допущения!$C$25:$G$30,MATCH($C30,Допущения!$B$25:$B$30,0),1))</f>
        <v>180000</v>
      </c>
      <c r="F30" s="21">
        <f>IF($D30="","",$D30*INDEX(Допущения!$C$25:$G$30,MATCH($C30,Допущения!$B$25:$B$30,0),2))</f>
        <v>900000</v>
      </c>
      <c r="G30" s="21">
        <f>IF($D30="","",$D30*INDEX(Допущения!$C$25:$G$30,MATCH($C30,Допущения!$B$25:$B$30,0),3))</f>
        <v>2250000</v>
      </c>
      <c r="H30" s="21">
        <f>IF($D30="","",$D30*INDEX(Допущения!$C$25:$G$30,MATCH($C30,Допущения!$B$25:$B$30,0),4))</f>
        <v>3750000</v>
      </c>
      <c r="I30" s="21">
        <f>IF($D30="","",$D30*INDEX(Допущения!$C$25:$G$30,MATCH($C30,Допущения!$B$25:$B$30,0),5))</f>
        <v>5250000</v>
      </c>
      <c r="J30" s="21">
        <f>SUM(E30:I30)</f>
        <v>12330000</v>
      </c>
      <c r="K30" s="22"/>
      <c r="L30" s="23" t="s">
        <v>173</v>
      </c>
    </row>
    <row r="31" spans="2:12" ht="15.75" customHeight="1" x14ac:dyDescent="0.45">
      <c r="B31" s="10"/>
      <c r="C31" s="15" t="s">
        <v>115</v>
      </c>
      <c r="D31" s="16"/>
      <c r="E31" s="21" t="str">
        <f>IF($D31="","",$D31*INDEX(Допущения!$C$25:$G$30,MATCH($C31,Допущения!$B$25:$B$30,0),1))</f>
        <v/>
      </c>
      <c r="F31" s="21" t="str">
        <f>IF($D31="","",$D31*INDEX(Допущения!$C$25:$G$30,MATCH($C31,Допущения!$B$25:$B$30,0),2))</f>
        <v/>
      </c>
      <c r="G31" s="21" t="str">
        <f>IF($D31="","",$D31*INDEX(Допущения!$C$25:$G$30,MATCH($C31,Допущения!$B$25:$B$30,0),3))</f>
        <v/>
      </c>
      <c r="H31" s="21" t="str">
        <f>IF($D31="","",$D31*INDEX(Допущения!$C$25:$G$30,MATCH($C31,Допущения!$B$25:$B$30,0),4))</f>
        <v/>
      </c>
      <c r="I31" s="21" t="str">
        <f>IF($D31="","",$D31*INDEX(Допущения!$C$25:$G$30,MATCH($C31,Допущения!$B$25:$B$30,0),5))</f>
        <v/>
      </c>
      <c r="J31" s="21">
        <f>SUM(E31:I31)</f>
        <v>0</v>
      </c>
      <c r="K31" s="22"/>
      <c r="L31" s="23" t="s">
        <v>164</v>
      </c>
    </row>
    <row r="32" spans="2:12" ht="15.75" customHeight="1" x14ac:dyDescent="0.45">
      <c r="B32" s="24" t="s">
        <v>152</v>
      </c>
      <c r="C32" s="25"/>
      <c r="D32" s="25"/>
      <c r="E32" s="26">
        <f t="shared" ref="E32:J32" si="4">SUM(E27:E31)</f>
        <v>768000</v>
      </c>
      <c r="F32" s="26">
        <f t="shared" si="4"/>
        <v>3960000</v>
      </c>
      <c r="G32" s="26">
        <f t="shared" si="4"/>
        <v>10200000</v>
      </c>
      <c r="H32" s="26">
        <f t="shared" si="4"/>
        <v>17500000</v>
      </c>
      <c r="I32" s="26">
        <f t="shared" si="4"/>
        <v>25200000</v>
      </c>
      <c r="J32" s="26">
        <f t="shared" si="4"/>
        <v>57628000</v>
      </c>
      <c r="K32" s="27">
        <f>IFERROR(J32/$J$51,0)</f>
        <v>0.78036309597687004</v>
      </c>
      <c r="L32" s="25"/>
    </row>
    <row r="33" spans="2:12" ht="15.75" customHeight="1" x14ac:dyDescent="0.45">
      <c r="C33" s="28"/>
    </row>
    <row r="34" spans="2:12" ht="15.75" customHeight="1" x14ac:dyDescent="0.45">
      <c r="B34" s="7" t="s">
        <v>174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45">
      <c r="B35" s="10" t="s">
        <v>175</v>
      </c>
      <c r="C35" s="15" t="s">
        <v>119</v>
      </c>
      <c r="D35" s="16">
        <v>420000</v>
      </c>
      <c r="E35" s="21">
        <f>IF($D35="","",$D35*INDEX(Допущения!$C$25:$G$30,MATCH($C35,Допущения!$B$25:$B$30,0),1))</f>
        <v>420000</v>
      </c>
      <c r="F35" s="21">
        <f>IF($D35="","",$D35*INDEX(Допущения!$C$25:$G$30,MATCH($C35,Допущения!$B$25:$B$30,0),2))</f>
        <v>462000.00000000006</v>
      </c>
      <c r="G35" s="21">
        <f>IF($D35="","",$D35*INDEX(Допущения!$C$25:$G$30,MATCH($C35,Допущения!$B$25:$B$30,0),3))</f>
        <v>508200.00000000006</v>
      </c>
      <c r="H35" s="21">
        <f>IF($D35="","",$D35*INDEX(Допущения!$C$25:$G$30,MATCH($C35,Допущения!$B$25:$B$30,0),4))</f>
        <v>559020.00000000012</v>
      </c>
      <c r="I35" s="21">
        <f>IF($D35="","",$D35*INDEX(Допущения!$C$25:$G$30,MATCH($C35,Допущения!$B$25:$B$30,0),5))</f>
        <v>614922.00000000023</v>
      </c>
      <c r="J35" s="21">
        <f>SUM(E35:I35)</f>
        <v>2564142</v>
      </c>
      <c r="K35" s="22"/>
      <c r="L35" s="23" t="s">
        <v>247</v>
      </c>
    </row>
    <row r="36" spans="2:12" ht="15.75" customHeight="1" x14ac:dyDescent="0.45">
      <c r="B36" s="10" t="s">
        <v>177</v>
      </c>
      <c r="C36" s="15" t="s">
        <v>119</v>
      </c>
      <c r="D36" s="16">
        <v>120000</v>
      </c>
      <c r="E36" s="21">
        <f>IF($D36="","",$D36*INDEX(Допущения!$C$25:$G$30,MATCH($C36,Допущения!$B$25:$B$30,0),1))</f>
        <v>120000</v>
      </c>
      <c r="F36" s="21">
        <f>IF($D36="","",$D36*INDEX(Допущения!$C$25:$G$30,MATCH($C36,Допущения!$B$25:$B$30,0),2))</f>
        <v>132000</v>
      </c>
      <c r="G36" s="21">
        <f>IF($D36="","",$D36*INDEX(Допущения!$C$25:$G$30,MATCH($C36,Допущения!$B$25:$B$30,0),3))</f>
        <v>145200.00000000003</v>
      </c>
      <c r="H36" s="21">
        <f>IF($D36="","",$D36*INDEX(Допущения!$C$25:$G$30,MATCH($C36,Допущения!$B$25:$B$30,0),4))</f>
        <v>159720.00000000006</v>
      </c>
      <c r="I36" s="21">
        <f>IF($D36="","",$D36*INDEX(Допущения!$C$25:$G$30,MATCH($C36,Допущения!$B$25:$B$30,0),5))</f>
        <v>175692.00000000009</v>
      </c>
      <c r="J36" s="21">
        <f>SUM(E36:I36)</f>
        <v>732612.00000000012</v>
      </c>
      <c r="K36" s="22"/>
      <c r="L36" s="23" t="s">
        <v>248</v>
      </c>
    </row>
    <row r="37" spans="2:12" ht="15.75" customHeight="1" x14ac:dyDescent="0.45">
      <c r="B37" s="10" t="s">
        <v>179</v>
      </c>
      <c r="C37" s="15" t="s">
        <v>119</v>
      </c>
      <c r="D37" s="16">
        <v>48000</v>
      </c>
      <c r="E37" s="21">
        <f>IF($D37="","",$D37*INDEX(Допущения!$C$25:$G$30,MATCH($C37,Допущения!$B$25:$B$30,0),1))</f>
        <v>48000</v>
      </c>
      <c r="F37" s="21">
        <f>IF($D37="","",$D37*INDEX(Допущения!$C$25:$G$30,MATCH($C37,Допущения!$B$25:$B$30,0),2))</f>
        <v>52800.000000000007</v>
      </c>
      <c r="G37" s="21">
        <f>IF($D37="","",$D37*INDEX(Допущения!$C$25:$G$30,MATCH($C37,Допущения!$B$25:$B$30,0),3))</f>
        <v>58080.000000000007</v>
      </c>
      <c r="H37" s="21">
        <f>IF($D37="","",$D37*INDEX(Допущения!$C$25:$G$30,MATCH($C37,Допущения!$B$25:$B$30,0),4))</f>
        <v>63888.000000000022</v>
      </c>
      <c r="I37" s="21">
        <f>IF($D37="","",$D37*INDEX(Допущения!$C$25:$G$30,MATCH($C37,Допущения!$B$25:$B$30,0),5))</f>
        <v>70276.800000000032</v>
      </c>
      <c r="J37" s="21">
        <f>SUM(E37:I37)</f>
        <v>293044.80000000005</v>
      </c>
      <c r="K37" s="22"/>
      <c r="L37" s="23" t="s">
        <v>249</v>
      </c>
    </row>
    <row r="38" spans="2:12" ht="15.75" customHeight="1" x14ac:dyDescent="0.45">
      <c r="B38" s="10" t="s">
        <v>181</v>
      </c>
      <c r="C38" s="15" t="s">
        <v>119</v>
      </c>
      <c r="D38" s="16">
        <v>150000</v>
      </c>
      <c r="E38" s="21">
        <f>IF($D38="","",$D38*INDEX(Допущения!$C$25:$G$30,MATCH($C38,Допущения!$B$25:$B$30,0),1))</f>
        <v>150000</v>
      </c>
      <c r="F38" s="21">
        <f>IF($D38="","",$D38*INDEX(Допущения!$C$25:$G$30,MATCH($C38,Допущения!$B$25:$B$30,0),2))</f>
        <v>165000</v>
      </c>
      <c r="G38" s="21">
        <f>IF($D38="","",$D38*INDEX(Допущения!$C$25:$G$30,MATCH($C38,Допущения!$B$25:$B$30,0),3))</f>
        <v>181500.00000000003</v>
      </c>
      <c r="H38" s="21">
        <f>IF($D38="","",$D38*INDEX(Допущения!$C$25:$G$30,MATCH($C38,Допущения!$B$25:$B$30,0),4))</f>
        <v>199650.00000000006</v>
      </c>
      <c r="I38" s="21">
        <f>IF($D38="","",$D38*INDEX(Допущения!$C$25:$G$30,MATCH($C38,Допущения!$B$25:$B$30,0),5))</f>
        <v>219615.00000000009</v>
      </c>
      <c r="J38" s="21">
        <f>SUM(E38:I38)</f>
        <v>915765.00000000012</v>
      </c>
      <c r="K38" s="22"/>
      <c r="L38" s="23" t="s">
        <v>250</v>
      </c>
    </row>
    <row r="39" spans="2:12" ht="15.75" customHeight="1" x14ac:dyDescent="0.45">
      <c r="B39" s="10" t="s">
        <v>183</v>
      </c>
      <c r="C39" s="15" t="s">
        <v>115</v>
      </c>
      <c r="D39" s="16"/>
      <c r="E39" s="16">
        <v>0</v>
      </c>
      <c r="F39" s="16">
        <v>0</v>
      </c>
      <c r="G39" s="16">
        <v>60000</v>
      </c>
      <c r="H39" s="16">
        <v>66000</v>
      </c>
      <c r="I39" s="16">
        <v>72600</v>
      </c>
      <c r="J39" s="21">
        <f>SUM(E39:I39)</f>
        <v>198600</v>
      </c>
      <c r="K39" s="22"/>
      <c r="L39" s="23" t="s">
        <v>251</v>
      </c>
    </row>
    <row r="40" spans="2:12" ht="15.75" customHeight="1" x14ac:dyDescent="0.45">
      <c r="B40" s="24" t="s">
        <v>152</v>
      </c>
      <c r="C40" s="25"/>
      <c r="D40" s="25"/>
      <c r="E40" s="26">
        <f t="shared" ref="E40:J40" si="5">SUM(E35:E39)</f>
        <v>738000</v>
      </c>
      <c r="F40" s="26">
        <f t="shared" si="5"/>
        <v>811800</v>
      </c>
      <c r="G40" s="26">
        <f t="shared" si="5"/>
        <v>952980.00000000012</v>
      </c>
      <c r="H40" s="26">
        <f t="shared" si="5"/>
        <v>1048278.0000000002</v>
      </c>
      <c r="I40" s="26">
        <f t="shared" si="5"/>
        <v>1153105.8000000005</v>
      </c>
      <c r="J40" s="26">
        <f t="shared" si="5"/>
        <v>4704163.8</v>
      </c>
      <c r="K40" s="27">
        <f>IFERROR(J40/$J$51,0)</f>
        <v>6.3700906277335975E-2</v>
      </c>
      <c r="L40" s="25"/>
    </row>
    <row r="41" spans="2:12" ht="15.75" customHeight="1" x14ac:dyDescent="0.45">
      <c r="C41" s="28"/>
    </row>
    <row r="42" spans="2:12" ht="15.75" customHeight="1" x14ac:dyDescent="0.45">
      <c r="B42" s="7" t="s">
        <v>185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45">
      <c r="B43" s="10" t="s">
        <v>186</v>
      </c>
      <c r="C43" s="15" t="s">
        <v>115</v>
      </c>
      <c r="D43" s="16">
        <v>25000</v>
      </c>
      <c r="E43" s="21">
        <f>IF($D43="","",$D43*INDEX(Допущения!$C$25:$G$30,MATCH($C43,Допущения!$B$25:$B$30,0),1))</f>
        <v>25000</v>
      </c>
      <c r="F43" s="16">
        <v>10000</v>
      </c>
      <c r="G43" s="16">
        <v>10000</v>
      </c>
      <c r="H43" s="16">
        <v>10000</v>
      </c>
      <c r="I43" s="16">
        <v>10000</v>
      </c>
      <c r="J43" s="21">
        <f>SUM(E43:I43)</f>
        <v>65000</v>
      </c>
      <c r="K43" s="22"/>
      <c r="L43" s="23" t="s">
        <v>252</v>
      </c>
    </row>
    <row r="44" spans="2:12" ht="15.75" customHeight="1" x14ac:dyDescent="0.45">
      <c r="B44" s="10" t="s">
        <v>188</v>
      </c>
      <c r="C44" s="15" t="s">
        <v>117</v>
      </c>
      <c r="D44" s="16">
        <v>12000</v>
      </c>
      <c r="E44" s="21">
        <f>IF($D44="","",$D44*INDEX(Допущения!$C$25:$G$30,MATCH($C44,Допущения!$B$25:$B$30,0),1))</f>
        <v>12000</v>
      </c>
      <c r="F44" s="21">
        <f>IF($D44="","",$D44*INDEX(Допущения!$C$25:$G$30,MATCH($C44,Допущения!$B$25:$B$30,0),2))</f>
        <v>12960</v>
      </c>
      <c r="G44" s="21">
        <f>IF($D44="","",$D44*INDEX(Допущения!$C$25:$G$30,MATCH($C44,Допущения!$B$25:$B$30,0),3))</f>
        <v>13996.800000000001</v>
      </c>
      <c r="H44" s="21">
        <f>IF($D44="","",$D44*INDEX(Допущения!$C$25:$G$30,MATCH($C44,Допущения!$B$25:$B$30,0),4))</f>
        <v>15116.544000000002</v>
      </c>
      <c r="I44" s="21">
        <f>IF($D44="","",$D44*INDEX(Допущения!$C$25:$G$30,MATCH($C44,Допущения!$B$25:$B$30,0),5))</f>
        <v>16325.867520000003</v>
      </c>
      <c r="J44" s="21">
        <f>SUM(E44:I44)</f>
        <v>70399.211520000012</v>
      </c>
      <c r="K44" s="22"/>
      <c r="L44" s="23" t="s">
        <v>253</v>
      </c>
    </row>
    <row r="45" spans="2:12" ht="15.75" customHeight="1" x14ac:dyDescent="0.45">
      <c r="B45" s="10" t="s">
        <v>190</v>
      </c>
      <c r="C45" s="15" t="s">
        <v>115</v>
      </c>
      <c r="D45" s="16">
        <v>0</v>
      </c>
      <c r="E45" s="21">
        <f>IF($D45="","",$D45*INDEX(Допущения!$C$25:$G$30,MATCH($C45,Допущения!$B$25:$B$30,0),1))</f>
        <v>0</v>
      </c>
      <c r="F45" s="21">
        <f>IF($D45="","",$D45*INDEX(Допущения!$C$25:$G$30,MATCH($C45,Допущения!$B$25:$B$30,0),2))</f>
        <v>0</v>
      </c>
      <c r="G45" s="21">
        <f>IF($D45="","",$D45*INDEX(Допущения!$C$25:$G$30,MATCH($C45,Допущения!$B$25:$B$30,0),3))</f>
        <v>0</v>
      </c>
      <c r="H45" s="21">
        <f>IF($D45="","",$D45*INDEX(Допущения!$C$25:$G$30,MATCH($C45,Допущения!$B$25:$B$30,0),4))</f>
        <v>0</v>
      </c>
      <c r="I45" s="21">
        <f>IF($D45="","",$D45*INDEX(Допущения!$C$25:$G$30,MATCH($C45,Допущения!$B$25:$B$30,0),5))</f>
        <v>0</v>
      </c>
      <c r="J45" s="21">
        <f>SUM(E45:I45)</f>
        <v>0</v>
      </c>
      <c r="K45" s="22"/>
      <c r="L45" s="23" t="s">
        <v>191</v>
      </c>
    </row>
    <row r="46" spans="2:12" ht="15.75" customHeight="1" x14ac:dyDescent="0.45">
      <c r="B46" s="10" t="s">
        <v>192</v>
      </c>
      <c r="C46" s="15" t="s">
        <v>115</v>
      </c>
      <c r="D46" s="16">
        <v>20000</v>
      </c>
      <c r="E46" s="21">
        <f>IF($D46="","",$D46*INDEX(Допущения!$C$25:$G$30,MATCH($C46,Допущения!$B$25:$B$30,0),1))</f>
        <v>20000</v>
      </c>
      <c r="F46" s="16">
        <v>0</v>
      </c>
      <c r="G46" s="16">
        <v>0</v>
      </c>
      <c r="H46" s="16">
        <v>0</v>
      </c>
      <c r="I46" s="16">
        <v>0</v>
      </c>
      <c r="J46" s="21">
        <f>SUM(E46:I46)</f>
        <v>20000</v>
      </c>
      <c r="K46" s="22"/>
      <c r="L46" s="23" t="s">
        <v>254</v>
      </c>
    </row>
    <row r="47" spans="2:12" ht="15.75" customHeight="1" x14ac:dyDescent="0.45">
      <c r="B47" s="10"/>
      <c r="C47" s="15" t="s">
        <v>115</v>
      </c>
      <c r="D47" s="16"/>
      <c r="E47" s="21" t="str">
        <f>IF($D47="","",$D47*INDEX(Допущения!$C$25:$G$30,MATCH($C47,Допущения!$B$25:$B$30,0),1))</f>
        <v/>
      </c>
      <c r="F47" s="21" t="str">
        <f>IF($D47="","",$D47*INDEX(Допущения!$C$25:$G$30,MATCH($C47,Допущения!$B$25:$B$30,0),2))</f>
        <v/>
      </c>
      <c r="G47" s="21" t="str">
        <f>IF($D47="","",$D47*INDEX(Допущения!$C$25:$G$30,MATCH($C47,Допущения!$B$25:$B$30,0),3))</f>
        <v/>
      </c>
      <c r="H47" s="21" t="str">
        <f>IF($D47="","",$D47*INDEX(Допущения!$C$25:$G$30,MATCH($C47,Допущения!$B$25:$B$30,0),4))</f>
        <v/>
      </c>
      <c r="I47" s="21" t="str">
        <f>IF($D47="","",$D47*INDEX(Допущения!$C$25:$G$30,MATCH($C47,Допущения!$B$25:$B$30,0),5))</f>
        <v/>
      </c>
      <c r="J47" s="21">
        <f>SUM(E47:I47)</f>
        <v>0</v>
      </c>
      <c r="K47" s="22"/>
      <c r="L47" s="23" t="s">
        <v>164</v>
      </c>
    </row>
    <row r="48" spans="2:12" ht="15.75" customHeight="1" x14ac:dyDescent="0.45">
      <c r="B48" s="24" t="s">
        <v>152</v>
      </c>
      <c r="C48" s="25"/>
      <c r="D48" s="25"/>
      <c r="E48" s="26">
        <f t="shared" ref="E48:J48" si="6">SUM(E43:E47)</f>
        <v>57000</v>
      </c>
      <c r="F48" s="26">
        <f t="shared" si="6"/>
        <v>22960</v>
      </c>
      <c r="G48" s="26">
        <f t="shared" si="6"/>
        <v>23996.800000000003</v>
      </c>
      <c r="H48" s="26">
        <f t="shared" si="6"/>
        <v>25116.544000000002</v>
      </c>
      <c r="I48" s="26">
        <f t="shared" si="6"/>
        <v>26325.867520000003</v>
      </c>
      <c r="J48" s="26">
        <f t="shared" si="6"/>
        <v>155399.21152000001</v>
      </c>
      <c r="K48" s="27">
        <f>IFERROR(J48/$J$51,0)</f>
        <v>2.1043209865709675E-3</v>
      </c>
      <c r="L48" s="25"/>
    </row>
    <row r="49" spans="2:12" ht="15.75" customHeight="1" x14ac:dyDescent="0.45">
      <c r="C49" s="28"/>
    </row>
    <row r="50" spans="2:12" ht="15.75" customHeight="1" x14ac:dyDescent="0.45">
      <c r="B50" s="13" t="s">
        <v>194</v>
      </c>
      <c r="C50" s="28"/>
      <c r="E50" s="29">
        <f>(E15+E24+E32+E40+E48)*Допущения!$C$17</f>
        <v>241905</v>
      </c>
      <c r="F50" s="29">
        <f>(F15+F24+F32+F40+F48)*Допущения!$C$17</f>
        <v>739236.9</v>
      </c>
      <c r="G50" s="29">
        <f>(G15+G24+G32+G40+G48)*Допущения!$C$17</f>
        <v>1729656.2520000001</v>
      </c>
      <c r="H50" s="29">
        <f>(H15+H24+H32+H40+H48)*Допущения!$C$17</f>
        <v>2862987.6921599996</v>
      </c>
      <c r="I50" s="29">
        <f>(I15+I24+I32+I40+I48)*Допущения!$C$17</f>
        <v>4058519.5415328001</v>
      </c>
      <c r="J50" s="21">
        <f>SUM(E50:I50)</f>
        <v>9632305.3856927995</v>
      </c>
      <c r="L50" s="6" t="s">
        <v>195</v>
      </c>
    </row>
    <row r="51" spans="2:12" ht="15.75" customHeight="1" x14ac:dyDescent="0.45">
      <c r="B51" s="24" t="s">
        <v>196</v>
      </c>
      <c r="C51" s="28"/>
      <c r="E51" s="26">
        <f>E15+E24+E32+E40+E48+E50</f>
        <v>1854605</v>
      </c>
      <c r="F51" s="26">
        <f>F15+F24+F32+F40+F48+F50</f>
        <v>5667482.9000000004</v>
      </c>
      <c r="G51" s="26">
        <f>G15+G24+G32+G40+G48+G50</f>
        <v>13260697.932000002</v>
      </c>
      <c r="H51" s="26">
        <f>H15+H24+H32+H40+H48+H50</f>
        <v>21949572.306559999</v>
      </c>
      <c r="I51" s="26">
        <f>I15+I24+I32+I40+I48+I50</f>
        <v>31115316.485084802</v>
      </c>
      <c r="J51" s="26">
        <f>SUM(E51:I51)</f>
        <v>73847674.623644799</v>
      </c>
    </row>
    <row r="52" spans="2:12" ht="15.75" customHeight="1" x14ac:dyDescent="0.45">
      <c r="B52" s="7" t="s">
        <v>197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45">
      <c r="B53" s="10" t="s">
        <v>198</v>
      </c>
      <c r="E53" s="29">
        <f>(1-E$80)*Допущения!C$10*Допущения!$C$22*Допущения!$C$21</f>
        <v>35999.999999996035</v>
      </c>
      <c r="F53" s="29">
        <f>(1-F$80)*Допущения!D$10*Допущения!$C$22*Допущения!$C$21</f>
        <v>188999.99999997916</v>
      </c>
      <c r="G53" s="29">
        <f>(1-G$80)*Допущения!E$10*Допущения!$C$22*Допущения!$C$21</f>
        <v>98999.999999989086</v>
      </c>
      <c r="H53" s="29">
        <f>(1-H$80)*Допущения!F$10*Допущения!$C$22*Допущения!$C$21</f>
        <v>172499.99999998102</v>
      </c>
      <c r="I53" s="29">
        <f>(1-I$80)*Допущения!G$10*Допущения!$C$22*Допущения!$C$21</f>
        <v>251999.99999997223</v>
      </c>
      <c r="J53" s="21">
        <f>SUM(E53:I53)</f>
        <v>748499.99999991758</v>
      </c>
      <c r="L53" s="32" t="s">
        <v>199</v>
      </c>
    </row>
    <row r="54" spans="2:12" ht="15.75" customHeight="1" x14ac:dyDescent="0.45">
      <c r="B54" s="24" t="s">
        <v>200</v>
      </c>
      <c r="E54" s="26">
        <f>E51+E53</f>
        <v>1890604.999999996</v>
      </c>
      <c r="F54" s="26">
        <f>F51+F53</f>
        <v>5856482.8999999799</v>
      </c>
      <c r="G54" s="26">
        <f>G51+G53</f>
        <v>13359697.931999991</v>
      </c>
      <c r="H54" s="26">
        <f>H51+H53</f>
        <v>22122072.30655998</v>
      </c>
      <c r="I54" s="26">
        <f>I51+I53</f>
        <v>31367316.485084776</v>
      </c>
      <c r="J54" s="26">
        <f>SUM(E54:I54)</f>
        <v>74596174.623644724</v>
      </c>
    </row>
    <row r="55" spans="2:12" ht="15.75" customHeight="1" x14ac:dyDescent="0.45">
      <c r="B55" s="10" t="s">
        <v>201</v>
      </c>
      <c r="E55" s="30">
        <f>1/(1+Допущения!$C$16)^0</f>
        <v>1</v>
      </c>
      <c r="F55" s="30">
        <f>1/(1+Допущения!$C$16)^1</f>
        <v>0.8</v>
      </c>
      <c r="G55" s="30">
        <f>1/(1+Допущения!$C$16)^2</f>
        <v>0.64</v>
      </c>
      <c r="H55" s="30">
        <f>1/(1+Допущения!$C$16)^3</f>
        <v>0.51200000000000001</v>
      </c>
      <c r="I55" s="30">
        <f>1/(1+Допущения!$C$16)^4</f>
        <v>0.40960000000000002</v>
      </c>
    </row>
    <row r="56" spans="2:12" ht="15.75" customHeight="1" x14ac:dyDescent="0.45">
      <c r="B56" s="24" t="s">
        <v>202</v>
      </c>
      <c r="E56" s="26">
        <f>E54*E55</f>
        <v>1890604.999999996</v>
      </c>
      <c r="F56" s="26">
        <f>F54*F55</f>
        <v>4685186.3199999845</v>
      </c>
      <c r="G56" s="26">
        <f>G54*G55</f>
        <v>8550206.6764799934</v>
      </c>
      <c r="H56" s="26">
        <f>H54*H55</f>
        <v>11326501.02095871</v>
      </c>
      <c r="I56" s="26">
        <f>I54*I55</f>
        <v>12848052.832290724</v>
      </c>
      <c r="J56" s="26">
        <f>SUM(E56:I56)</f>
        <v>39300551.849729404</v>
      </c>
    </row>
    <row r="57" spans="2:12" ht="15.75" customHeight="1" x14ac:dyDescent="0.45"/>
    <row r="58" spans="2:12" ht="15.75" customHeight="1" x14ac:dyDescent="0.45">
      <c r="B58" s="7" t="s">
        <v>203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45">
      <c r="B59" s="13" t="s">
        <v>204</v>
      </c>
      <c r="E59" s="50">
        <f>J51</f>
        <v>73847674.623644799</v>
      </c>
      <c r="F59" s="51"/>
      <c r="L59" s="32" t="s">
        <v>205</v>
      </c>
    </row>
    <row r="60" spans="2:12" ht="15.75" customHeight="1" x14ac:dyDescent="0.45">
      <c r="B60" s="13" t="s">
        <v>206</v>
      </c>
      <c r="E60" s="50">
        <f>J54</f>
        <v>74596174.623644724</v>
      </c>
      <c r="F60" s="51"/>
      <c r="L60" s="32" t="s">
        <v>207</v>
      </c>
    </row>
    <row r="61" spans="2:12" ht="15.75" customHeight="1" x14ac:dyDescent="0.45">
      <c r="B61" s="13" t="s">
        <v>208</v>
      </c>
      <c r="E61" s="50">
        <f>J56</f>
        <v>39300551.849729404</v>
      </c>
      <c r="F61" s="51"/>
      <c r="L61" s="32" t="s">
        <v>209</v>
      </c>
    </row>
    <row r="62" spans="2:12" ht="15.75" customHeight="1" x14ac:dyDescent="0.45">
      <c r="B62" s="13" t="s">
        <v>210</v>
      </c>
      <c r="E62" s="50">
        <f>J51/5</f>
        <v>14769534.92472896</v>
      </c>
      <c r="F62" s="51"/>
      <c r="L62" s="32" t="s">
        <v>211</v>
      </c>
    </row>
    <row r="63" spans="2:12" ht="15.75" customHeight="1" x14ac:dyDescent="0.45">
      <c r="B63" s="13" t="s">
        <v>212</v>
      </c>
      <c r="E63" s="50">
        <f>E15/12</f>
        <v>2891.6666666666665</v>
      </c>
      <c r="F63" s="51"/>
      <c r="L63" s="32" t="s">
        <v>213</v>
      </c>
    </row>
    <row r="64" spans="2:12" ht="15.75" customHeight="1" x14ac:dyDescent="0.45">
      <c r="B64" s="13" t="s">
        <v>214</v>
      </c>
      <c r="E64" s="64" t="str">
        <f>IF(E15/12&lt;=Допущения!$C$18,"В бюджете CFO","ПРЕВЫШЕНИЕ бюджета")</f>
        <v>В бюджете CFO</v>
      </c>
      <c r="F64" s="51"/>
      <c r="L64" s="32" t="s">
        <v>215</v>
      </c>
    </row>
    <row r="65" spans="2:12" ht="15.75" customHeight="1" x14ac:dyDescent="0.45">
      <c r="B65" s="13" t="s">
        <v>65</v>
      </c>
      <c r="E65" s="63">
        <f>IFERROR(J51/SUM(Допущения!$C$8:$G$8),0)</f>
        <v>0.89839020223412169</v>
      </c>
      <c r="F65" s="51"/>
      <c r="L65" s="32" t="s">
        <v>216</v>
      </c>
    </row>
    <row r="66" spans="2:12" ht="15.75" customHeight="1" x14ac:dyDescent="0.45">
      <c r="B66" s="13" t="s">
        <v>217</v>
      </c>
      <c r="E66" s="63">
        <f>IFERROR(I51/Допущения!$G$7,0)</f>
        <v>3.4572573872316448</v>
      </c>
      <c r="F66" s="51"/>
      <c r="L66" s="32" t="s">
        <v>218</v>
      </c>
    </row>
    <row r="67" spans="2:12" ht="15.75" customHeight="1" x14ac:dyDescent="0.45">
      <c r="B67" s="13" t="s">
        <v>219</v>
      </c>
      <c r="E67" s="62">
        <f>IFERROR(J51/SUM(Допущения!$C$10:$G$10),0)</f>
        <v>3.8969749141765063E-2</v>
      </c>
      <c r="F67" s="51"/>
      <c r="L67" s="32" t="s">
        <v>220</v>
      </c>
    </row>
    <row r="68" spans="2:12" ht="15.75" customHeight="1" x14ac:dyDescent="0.45">
      <c r="B68" s="13" t="s">
        <v>221</v>
      </c>
      <c r="E68" s="60">
        <f>IFERROR(J15/J51,0)</f>
        <v>1.9782973379912434E-2</v>
      </c>
      <c r="F68" s="51"/>
      <c r="L68" s="32" t="s">
        <v>222</v>
      </c>
    </row>
    <row r="69" spans="2:12" ht="15.75" customHeight="1" x14ac:dyDescent="0.45">
      <c r="B69" s="13" t="s">
        <v>223</v>
      </c>
      <c r="E69" s="60">
        <f>IFERROR(J32/J51,0)</f>
        <v>0.78036309597687004</v>
      </c>
      <c r="F69" s="51"/>
      <c r="L69" s="32" t="s">
        <v>224</v>
      </c>
    </row>
    <row r="70" spans="2:12" ht="15.75" customHeight="1" x14ac:dyDescent="0.45">
      <c r="B70" s="13" t="s">
        <v>225</v>
      </c>
      <c r="E70" s="60">
        <f>IFERROR(J40/J51,0)</f>
        <v>6.3700906277335975E-2</v>
      </c>
      <c r="F70" s="51"/>
      <c r="L70" s="32" t="s">
        <v>226</v>
      </c>
    </row>
    <row r="71" spans="2:12" ht="15.75" customHeight="1" x14ac:dyDescent="0.45"/>
    <row r="72" spans="2:12" ht="15.75" customHeight="1" x14ac:dyDescent="0.45">
      <c r="B72" s="61" t="s">
        <v>227</v>
      </c>
      <c r="C72" s="48"/>
      <c r="D72" s="48"/>
      <c r="E72" s="48"/>
      <c r="F72" s="48"/>
      <c r="G72" s="48"/>
      <c r="H72" s="48"/>
      <c r="I72" s="48"/>
      <c r="J72" s="48"/>
      <c r="K72" s="48"/>
      <c r="L72" s="48"/>
    </row>
    <row r="73" spans="2:12" ht="15" customHeight="1" x14ac:dyDescent="0.45">
      <c r="B73" s="52" t="s">
        <v>255</v>
      </c>
      <c r="C73" s="53"/>
      <c r="D73" s="53"/>
      <c r="E73" s="53"/>
      <c r="F73" s="53"/>
      <c r="G73" s="53"/>
      <c r="H73" s="53"/>
      <c r="I73" s="53"/>
      <c r="J73" s="53"/>
      <c r="K73" s="53"/>
      <c r="L73" s="54"/>
    </row>
    <row r="74" spans="2:12" ht="15.75" customHeight="1" x14ac:dyDescent="0.45">
      <c r="B74" s="55"/>
      <c r="C74" s="48"/>
      <c r="D74" s="48"/>
      <c r="E74" s="48"/>
      <c r="F74" s="48"/>
      <c r="G74" s="48"/>
      <c r="H74" s="48"/>
      <c r="I74" s="48"/>
      <c r="J74" s="48"/>
      <c r="K74" s="48"/>
      <c r="L74" s="56"/>
    </row>
    <row r="75" spans="2:12" ht="15.75" customHeight="1" x14ac:dyDescent="0.45">
      <c r="B75" s="57"/>
      <c r="C75" s="58"/>
      <c r="D75" s="58"/>
      <c r="E75" s="58"/>
      <c r="F75" s="58"/>
      <c r="G75" s="58"/>
      <c r="H75" s="58"/>
      <c r="I75" s="58"/>
      <c r="J75" s="58"/>
      <c r="K75" s="58"/>
      <c r="L75" s="59"/>
    </row>
    <row r="76" spans="2:12" ht="15.75" customHeight="1" x14ac:dyDescent="0.45"/>
    <row r="77" spans="2:12" ht="15.75" customHeight="1" x14ac:dyDescent="0.45">
      <c r="B77" t="s">
        <v>229</v>
      </c>
      <c r="E77" s="35">
        <f>(E15+E24)/12</f>
        <v>4141.666666666667</v>
      </c>
      <c r="L77" t="s">
        <v>230</v>
      </c>
    </row>
    <row r="78" spans="2:12" ht="15.75" customHeight="1" x14ac:dyDescent="0.45">
      <c r="B78" t="s">
        <v>231</v>
      </c>
      <c r="E78" s="35" t="str">
        <f>IF((E15+E24)/12&lt;=Допущения!$C$18,"В бюджете CFO","ПРЕВЫШЕНИЕ бюджета")</f>
        <v>В бюджете CFO</v>
      </c>
    </row>
    <row r="79" spans="2:12" ht="15.75" customHeight="1" x14ac:dyDescent="0.45"/>
    <row r="80" spans="2:12" ht="15.75" customHeight="1" x14ac:dyDescent="0.45">
      <c r="B80" t="s">
        <v>232</v>
      </c>
      <c r="E80" s="36">
        <v>0.99950000000000006</v>
      </c>
      <c r="F80" s="36">
        <v>0.99950000000000006</v>
      </c>
      <c r="G80" s="36">
        <v>0.99990000000000001</v>
      </c>
      <c r="H80" s="36">
        <v>0.99990000000000001</v>
      </c>
      <c r="I80" s="36">
        <v>0.99990000000000001</v>
      </c>
      <c r="L80" t="s">
        <v>233</v>
      </c>
    </row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type="list" allowBlank="1" sqref="C6:C51" xr:uid="{00000000-0002-0000-04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52" workbookViewId="0"/>
  </sheetViews>
  <sheetFormatPr defaultColWidth="14.3984375" defaultRowHeight="15" customHeight="1" x14ac:dyDescent="0.45"/>
  <cols>
    <col min="1" max="1" width="3" style="31" customWidth="1"/>
    <col min="2" max="2" width="44" style="31" customWidth="1"/>
    <col min="3" max="3" width="16" style="31" customWidth="1"/>
    <col min="4" max="4" width="15" style="31" customWidth="1"/>
    <col min="5" max="10" width="14" style="31" customWidth="1"/>
    <col min="11" max="11" width="10" style="31" customWidth="1"/>
    <col min="12" max="12" width="46" style="31" customWidth="1"/>
    <col min="13" max="26" width="8.73046875" style="31" customWidth="1"/>
  </cols>
  <sheetData>
    <row r="1" spans="2:12" ht="14.25" x14ac:dyDescent="0.45"/>
    <row r="2" spans="2:12" ht="17.649999999999999" x14ac:dyDescent="0.5">
      <c r="B2" s="1" t="s">
        <v>256</v>
      </c>
    </row>
    <row r="3" spans="2:12" ht="14.25" x14ac:dyDescent="0.45">
      <c r="B3" s="6" t="s">
        <v>129</v>
      </c>
    </row>
    <row r="4" spans="2:12" ht="14.25" x14ac:dyDescent="0.45"/>
    <row r="5" spans="2:12" ht="31.5" customHeight="1" x14ac:dyDescent="0.45">
      <c r="B5" s="9" t="s">
        <v>130</v>
      </c>
      <c r="C5" s="9" t="s">
        <v>131</v>
      </c>
      <c r="D5" s="9" t="s">
        <v>132</v>
      </c>
      <c r="E5" s="9" t="s">
        <v>79</v>
      </c>
      <c r="F5" s="9" t="s">
        <v>80</v>
      </c>
      <c r="G5" s="9" t="s">
        <v>81</v>
      </c>
      <c r="H5" s="9" t="s">
        <v>82</v>
      </c>
      <c r="I5" s="9" t="s">
        <v>83</v>
      </c>
      <c r="J5" s="9" t="s">
        <v>133</v>
      </c>
      <c r="K5" s="9" t="s">
        <v>134</v>
      </c>
      <c r="L5" s="9" t="s">
        <v>84</v>
      </c>
    </row>
    <row r="6" spans="2:12" ht="14.25" x14ac:dyDescent="0.45">
      <c r="B6" s="7" t="s">
        <v>135</v>
      </c>
      <c r="C6" s="8"/>
      <c r="D6" s="8"/>
      <c r="E6" s="8"/>
      <c r="F6" s="8"/>
      <c r="G6" s="8"/>
      <c r="H6" s="8"/>
      <c r="I6" s="8"/>
      <c r="J6" s="8"/>
      <c r="K6" s="8"/>
      <c r="L6" s="8"/>
    </row>
    <row r="7" spans="2:12" ht="23.25" x14ac:dyDescent="0.45">
      <c r="B7" s="10" t="s">
        <v>136</v>
      </c>
      <c r="C7" s="15" t="s">
        <v>121</v>
      </c>
      <c r="D7" s="16">
        <v>16100</v>
      </c>
      <c r="E7" s="21">
        <f>IF($D7="","",$D7*INDEX(Допущения!$C$25:$G$30,MATCH($C7,Допущения!$B$25:$B$30,0),1))</f>
        <v>16100</v>
      </c>
      <c r="F7" s="21">
        <f>IF($D7="","",$D7*INDEX(Допущения!$C$25:$G$30,MATCH($C7,Допущения!$B$25:$B$30,0),2))</f>
        <v>40250</v>
      </c>
      <c r="G7" s="21">
        <f>IF($D7="","",$D7*INDEX(Допущения!$C$25:$G$30,MATCH($C7,Допущения!$B$25:$B$30,0),3))</f>
        <v>80500</v>
      </c>
      <c r="H7" s="21">
        <f>IF($D7="","",$D7*INDEX(Допущения!$C$25:$G$30,MATCH($C7,Допущения!$B$25:$B$30,0),4))</f>
        <v>112700</v>
      </c>
      <c r="I7" s="21">
        <f>IF($D7="","",$D7*INDEX(Допущения!$C$25:$G$30,MATCH($C7,Допущения!$B$25:$B$30,0),5))</f>
        <v>144900</v>
      </c>
      <c r="J7" s="21">
        <f t="shared" ref="J7:J14" si="0">SUM(E7:I7)</f>
        <v>394450</v>
      </c>
      <c r="K7" s="22"/>
      <c r="L7" s="23" t="s">
        <v>257</v>
      </c>
    </row>
    <row r="8" spans="2:12" ht="23.25" x14ac:dyDescent="0.45">
      <c r="B8" s="10" t="s">
        <v>138</v>
      </c>
      <c r="C8" s="15" t="s">
        <v>121</v>
      </c>
      <c r="D8" s="16">
        <v>10700</v>
      </c>
      <c r="E8" s="21">
        <f>IF($D8="","",$D8*INDEX(Допущения!$C$25:$G$30,MATCH($C8,Допущения!$B$25:$B$30,0),1))</f>
        <v>10700</v>
      </c>
      <c r="F8" s="21">
        <f>IF($D8="","",$D8*INDEX(Допущения!$C$25:$G$30,MATCH($C8,Допущения!$B$25:$B$30,0),2))</f>
        <v>26750</v>
      </c>
      <c r="G8" s="21">
        <f>IF($D8="","",$D8*INDEX(Допущения!$C$25:$G$30,MATCH($C8,Допущения!$B$25:$B$30,0),3))</f>
        <v>53500</v>
      </c>
      <c r="H8" s="21">
        <f>IF($D8="","",$D8*INDEX(Допущения!$C$25:$G$30,MATCH($C8,Допущения!$B$25:$B$30,0),4))</f>
        <v>74900</v>
      </c>
      <c r="I8" s="21">
        <f>IF($D8="","",$D8*INDEX(Допущения!$C$25:$G$30,MATCH($C8,Допущения!$B$25:$B$30,0),5))</f>
        <v>96300</v>
      </c>
      <c r="J8" s="21">
        <f t="shared" si="0"/>
        <v>262150</v>
      </c>
      <c r="K8" s="22"/>
      <c r="L8" s="23" t="s">
        <v>258</v>
      </c>
    </row>
    <row r="9" spans="2:12" ht="14.25" x14ac:dyDescent="0.45">
      <c r="B9" s="10" t="s">
        <v>140</v>
      </c>
      <c r="C9" s="15" t="s">
        <v>121</v>
      </c>
      <c r="D9" s="16">
        <v>700</v>
      </c>
      <c r="E9" s="21">
        <f>IF($D9="","",$D9*INDEX(Допущения!$C$25:$G$30,MATCH($C9,Допущения!$B$25:$B$30,0),1))</f>
        <v>700</v>
      </c>
      <c r="F9" s="21">
        <f>IF($D9="","",$D9*INDEX(Допущения!$C$25:$G$30,MATCH($C9,Допущения!$B$25:$B$30,0),2))</f>
        <v>1750</v>
      </c>
      <c r="G9" s="21">
        <f>IF($D9="","",$D9*INDEX(Допущения!$C$25:$G$30,MATCH($C9,Допущения!$B$25:$B$30,0),3))</f>
        <v>3500</v>
      </c>
      <c r="H9" s="21">
        <f>IF($D9="","",$D9*INDEX(Допущения!$C$25:$G$30,MATCH($C9,Допущения!$B$25:$B$30,0),4))</f>
        <v>4900</v>
      </c>
      <c r="I9" s="21">
        <f>IF($D9="","",$D9*INDEX(Допущения!$C$25:$G$30,MATCH($C9,Допущения!$B$25:$B$30,0),5))</f>
        <v>6300</v>
      </c>
      <c r="J9" s="21">
        <f t="shared" si="0"/>
        <v>17150</v>
      </c>
      <c r="K9" s="22"/>
      <c r="L9" s="23" t="s">
        <v>259</v>
      </c>
    </row>
    <row r="10" spans="2:12" ht="14.25" x14ac:dyDescent="0.45">
      <c r="B10" s="10" t="s">
        <v>142</v>
      </c>
      <c r="C10" s="15" t="s">
        <v>121</v>
      </c>
      <c r="D10" s="16">
        <v>3200</v>
      </c>
      <c r="E10" s="21">
        <f>IF($D10="","",$D10*INDEX(Допущения!$C$25:$G$30,MATCH($C10,Допущения!$B$25:$B$30,0),1))</f>
        <v>3200</v>
      </c>
      <c r="F10" s="21">
        <f>IF($D10="","",$D10*INDEX(Допущения!$C$25:$G$30,MATCH($C10,Допущения!$B$25:$B$30,0),2))</f>
        <v>8000</v>
      </c>
      <c r="G10" s="21">
        <f>IF($D10="","",$D10*INDEX(Допущения!$C$25:$G$30,MATCH($C10,Допущения!$B$25:$B$30,0),3))</f>
        <v>16000</v>
      </c>
      <c r="H10" s="21">
        <f>IF($D10="","",$D10*INDEX(Допущения!$C$25:$G$30,MATCH($C10,Допущения!$B$25:$B$30,0),4))</f>
        <v>22400</v>
      </c>
      <c r="I10" s="21">
        <f>IF($D10="","",$D10*INDEX(Допущения!$C$25:$G$30,MATCH($C10,Допущения!$B$25:$B$30,0),5))</f>
        <v>28800</v>
      </c>
      <c r="J10" s="21">
        <f t="shared" si="0"/>
        <v>78400</v>
      </c>
      <c r="K10" s="22"/>
      <c r="L10" s="23" t="s">
        <v>238</v>
      </c>
    </row>
    <row r="11" spans="2:12" ht="23.25" x14ac:dyDescent="0.45">
      <c r="B11" s="10" t="s">
        <v>144</v>
      </c>
      <c r="C11" s="15" t="s">
        <v>121</v>
      </c>
      <c r="D11" s="16">
        <v>7200</v>
      </c>
      <c r="E11" s="21">
        <f>IF($D11="","",$D11*INDEX(Допущения!$C$25:$G$30,MATCH($C11,Допущения!$B$25:$B$30,0),1))</f>
        <v>7200</v>
      </c>
      <c r="F11" s="21">
        <f>IF($D11="","",$D11*INDEX(Допущения!$C$25:$G$30,MATCH($C11,Допущения!$B$25:$B$30,0),2))</f>
        <v>18000</v>
      </c>
      <c r="G11" s="21">
        <f>IF($D11="","",$D11*INDEX(Допущения!$C$25:$G$30,MATCH($C11,Допущения!$B$25:$B$30,0),3))</f>
        <v>36000</v>
      </c>
      <c r="H11" s="21">
        <f>IF($D11="","",$D11*INDEX(Допущения!$C$25:$G$30,MATCH($C11,Допущения!$B$25:$B$30,0),4))</f>
        <v>50400</v>
      </c>
      <c r="I11" s="21">
        <f>IF($D11="","",$D11*INDEX(Допущения!$C$25:$G$30,MATCH($C11,Допущения!$B$25:$B$30,0),5))</f>
        <v>64800</v>
      </c>
      <c r="J11" s="21">
        <f t="shared" si="0"/>
        <v>176400</v>
      </c>
      <c r="K11" s="22"/>
      <c r="L11" s="23" t="s">
        <v>260</v>
      </c>
    </row>
    <row r="12" spans="2:12" ht="23.25" x14ac:dyDescent="0.45">
      <c r="B12" s="10" t="s">
        <v>146</v>
      </c>
      <c r="C12" s="15" t="s">
        <v>121</v>
      </c>
      <c r="D12" s="16">
        <v>26900</v>
      </c>
      <c r="E12" s="21">
        <f>IF($D12="","",$D12*INDEX(Допущения!$C$25:$G$30,MATCH($C12,Допущения!$B$25:$B$30,0),1))</f>
        <v>26900</v>
      </c>
      <c r="F12" s="21">
        <f>IF($D12="","",$D12*INDEX(Допущения!$C$25:$G$30,MATCH($C12,Допущения!$B$25:$B$30,0),2))</f>
        <v>67250</v>
      </c>
      <c r="G12" s="21">
        <f>IF($D12="","",$D12*INDEX(Допущения!$C$25:$G$30,MATCH($C12,Допущения!$B$25:$B$30,0),3))</f>
        <v>134500</v>
      </c>
      <c r="H12" s="21">
        <f>IF($D12="","",$D12*INDEX(Допущения!$C$25:$G$30,MATCH($C12,Допущения!$B$25:$B$30,0),4))</f>
        <v>188300</v>
      </c>
      <c r="I12" s="21">
        <f>IF($D12="","",$D12*INDEX(Допущения!$C$25:$G$30,MATCH($C12,Допущения!$B$25:$B$30,0),5))</f>
        <v>242100</v>
      </c>
      <c r="J12" s="21">
        <f t="shared" si="0"/>
        <v>659050</v>
      </c>
      <c r="K12" s="22"/>
      <c r="L12" s="23" t="s">
        <v>261</v>
      </c>
    </row>
    <row r="13" spans="2:12" ht="23.25" x14ac:dyDescent="0.45">
      <c r="B13" s="10" t="s">
        <v>148</v>
      </c>
      <c r="C13" s="15" t="s">
        <v>117</v>
      </c>
      <c r="D13" s="16">
        <v>6600</v>
      </c>
      <c r="E13" s="21">
        <f>IF($D13="","",$D13*INDEX(Допущения!$C$25:$G$30,MATCH($C13,Допущения!$B$25:$B$30,0),1))</f>
        <v>6600</v>
      </c>
      <c r="F13" s="21">
        <f>IF($D13="","",$D13*INDEX(Допущения!$C$25:$G$30,MATCH($C13,Допущения!$B$25:$B$30,0),2))</f>
        <v>7128.0000000000009</v>
      </c>
      <c r="G13" s="21">
        <f>IF($D13="","",$D13*INDEX(Допущения!$C$25:$G$30,MATCH($C13,Допущения!$B$25:$B$30,0),3))</f>
        <v>7698.2400000000007</v>
      </c>
      <c r="H13" s="21">
        <f>IF($D13="","",$D13*INDEX(Допущения!$C$25:$G$30,MATCH($C13,Допущения!$B$25:$B$30,0),4))</f>
        <v>8314.0992000000006</v>
      </c>
      <c r="I13" s="21">
        <f>IF($D13="","",$D13*INDEX(Допущения!$C$25:$G$30,MATCH($C13,Допущения!$B$25:$B$30,0),5))</f>
        <v>8979.2271360000013</v>
      </c>
      <c r="J13" s="21">
        <f t="shared" si="0"/>
        <v>38719.566336000004</v>
      </c>
      <c r="K13" s="22"/>
      <c r="L13" s="23" t="s">
        <v>262</v>
      </c>
    </row>
    <row r="14" spans="2:12" ht="14.25" x14ac:dyDescent="0.45">
      <c r="B14" s="10"/>
      <c r="C14" s="15" t="s">
        <v>115</v>
      </c>
      <c r="D14" s="16"/>
      <c r="E14" s="21" t="str">
        <f>IF($D14="","",$D14*INDEX(Допущения!$C$25:$G$30,MATCH($C14,Допущения!$B$25:$B$30,0),1))</f>
        <v/>
      </c>
      <c r="F14" s="21" t="str">
        <f>IF($D14="","",$D14*INDEX(Допущения!$C$25:$G$30,MATCH($C14,Допущения!$B$25:$B$30,0),2))</f>
        <v/>
      </c>
      <c r="G14" s="21" t="str">
        <f>IF($D14="","",$D14*INDEX(Допущения!$C$25:$G$30,MATCH($C14,Допущения!$B$25:$B$30,0),3))</f>
        <v/>
      </c>
      <c r="H14" s="21" t="str">
        <f>IF($D14="","",$D14*INDEX(Допущения!$C$25:$G$30,MATCH($C14,Допущения!$B$25:$B$30,0),4))</f>
        <v/>
      </c>
      <c r="I14" s="21" t="str">
        <f>IF($D14="","",$D14*INDEX(Допущения!$C$25:$G$30,MATCH($C14,Допущения!$B$25:$B$30,0),5))</f>
        <v/>
      </c>
      <c r="J14" s="21">
        <f t="shared" si="0"/>
        <v>0</v>
      </c>
      <c r="K14" s="22"/>
      <c r="L14" s="23" t="s">
        <v>164</v>
      </c>
    </row>
    <row r="15" spans="2:12" ht="14.25" x14ac:dyDescent="0.45">
      <c r="B15" s="24" t="s">
        <v>152</v>
      </c>
      <c r="C15" s="25"/>
      <c r="D15" s="25"/>
      <c r="E15" s="26">
        <f t="shared" ref="E15:J15" si="1">SUM(E7:E14)</f>
        <v>71400</v>
      </c>
      <c r="F15" s="26">
        <f t="shared" si="1"/>
        <v>169128</v>
      </c>
      <c r="G15" s="26">
        <f t="shared" si="1"/>
        <v>331698.24</v>
      </c>
      <c r="H15" s="26">
        <f t="shared" si="1"/>
        <v>461914.0992</v>
      </c>
      <c r="I15" s="26">
        <f t="shared" si="1"/>
        <v>592179.22713600006</v>
      </c>
      <c r="J15" s="26">
        <f t="shared" si="1"/>
        <v>1626319.5663360001</v>
      </c>
      <c r="K15" s="27">
        <f>IFERROR(J15/$J$51,0)</f>
        <v>2.1007815861218658E-2</v>
      </c>
      <c r="L15" s="25"/>
    </row>
    <row r="16" spans="2:12" ht="14.25" x14ac:dyDescent="0.45">
      <c r="C16" s="28"/>
    </row>
    <row r="17" spans="2:12" ht="14.25" x14ac:dyDescent="0.45">
      <c r="B17" s="7" t="s">
        <v>153</v>
      </c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2:12" ht="23.25" x14ac:dyDescent="0.45">
      <c r="B18" s="10" t="s">
        <v>154</v>
      </c>
      <c r="C18" s="15" t="s">
        <v>121</v>
      </c>
      <c r="D18" s="16">
        <v>4100</v>
      </c>
      <c r="E18" s="21">
        <f>IF($D18="","",$D18*INDEX(Допущения!$C$25:$G$30,MATCH($C18,Допущения!$B$25:$B$30,0),1))</f>
        <v>4100</v>
      </c>
      <c r="F18" s="21">
        <f>IF($D18="","",$D18*INDEX(Допущения!$C$25:$G$30,MATCH($C18,Допущения!$B$25:$B$30,0),2))</f>
        <v>10250</v>
      </c>
      <c r="G18" s="21">
        <f>IF($D18="","",$D18*INDEX(Допущения!$C$25:$G$30,MATCH($C18,Допущения!$B$25:$B$30,0),3))</f>
        <v>20500</v>
      </c>
      <c r="H18" s="21">
        <f>IF($D18="","",$D18*INDEX(Допущения!$C$25:$G$30,MATCH($C18,Допущения!$B$25:$B$30,0),4))</f>
        <v>28700</v>
      </c>
      <c r="I18" s="21">
        <f>IF($D18="","",$D18*INDEX(Допущения!$C$25:$G$30,MATCH($C18,Допущения!$B$25:$B$30,0),5))</f>
        <v>36900</v>
      </c>
      <c r="J18" s="21">
        <f t="shared" ref="J18:J23" si="2">SUM(E18:I18)</f>
        <v>100450</v>
      </c>
      <c r="K18" s="22"/>
      <c r="L18" s="23" t="s">
        <v>263</v>
      </c>
    </row>
    <row r="19" spans="2:12" ht="14.25" x14ac:dyDescent="0.45">
      <c r="B19" s="10" t="s">
        <v>156</v>
      </c>
      <c r="C19" s="15" t="s">
        <v>117</v>
      </c>
      <c r="D19" s="16">
        <v>3600</v>
      </c>
      <c r="E19" s="21">
        <f>IF($D19="","",$D19*INDEX(Допущения!$C$25:$G$30,MATCH($C19,Допущения!$B$25:$B$30,0),1))</f>
        <v>3600</v>
      </c>
      <c r="F19" s="21">
        <f>IF($D19="","",$D19*INDEX(Допущения!$C$25:$G$30,MATCH($C19,Допущения!$B$25:$B$30,0),2))</f>
        <v>3888.0000000000005</v>
      </c>
      <c r="G19" s="21">
        <f>IF($D19="","",$D19*INDEX(Допущения!$C$25:$G$30,MATCH($C19,Допущения!$B$25:$B$30,0),3))</f>
        <v>4199.04</v>
      </c>
      <c r="H19" s="21">
        <f>IF($D19="","",$D19*INDEX(Допущения!$C$25:$G$30,MATCH($C19,Допущения!$B$25:$B$30,0),4))</f>
        <v>4534.9632000000001</v>
      </c>
      <c r="I19" s="21">
        <f>IF($D19="","",$D19*INDEX(Допущения!$C$25:$G$30,MATCH($C19,Допущения!$B$25:$B$30,0),5))</f>
        <v>4897.7602560000014</v>
      </c>
      <c r="J19" s="21">
        <f t="shared" si="2"/>
        <v>21119.763456000001</v>
      </c>
      <c r="K19" s="22"/>
      <c r="L19" s="23" t="s">
        <v>264</v>
      </c>
    </row>
    <row r="20" spans="2:12" ht="14.25" x14ac:dyDescent="0.45">
      <c r="B20" s="10" t="s">
        <v>158</v>
      </c>
      <c r="C20" s="15" t="s">
        <v>121</v>
      </c>
      <c r="D20" s="16">
        <v>6000</v>
      </c>
      <c r="E20" s="21">
        <f>IF($D20="","",$D20*INDEX(Допущения!$C$25:$G$30,MATCH($C20,Допущения!$B$25:$B$30,0),1))</f>
        <v>6000</v>
      </c>
      <c r="F20" s="21">
        <f>IF($D20="","",$D20*INDEX(Допущения!$C$25:$G$30,MATCH($C20,Допущения!$B$25:$B$30,0),2))</f>
        <v>15000</v>
      </c>
      <c r="G20" s="21">
        <f>IF($D20="","",$D20*INDEX(Допущения!$C$25:$G$30,MATCH($C20,Допущения!$B$25:$B$30,0),3))</f>
        <v>30000</v>
      </c>
      <c r="H20" s="21">
        <f>IF($D20="","",$D20*INDEX(Допущения!$C$25:$G$30,MATCH($C20,Допущения!$B$25:$B$30,0),4))</f>
        <v>42000</v>
      </c>
      <c r="I20" s="21">
        <f>IF($D20="","",$D20*INDEX(Допущения!$C$25:$G$30,MATCH($C20,Допущения!$B$25:$B$30,0),5))</f>
        <v>54000</v>
      </c>
      <c r="J20" s="21">
        <f t="shared" si="2"/>
        <v>147000</v>
      </c>
      <c r="K20" s="22"/>
      <c r="L20" s="23" t="s">
        <v>265</v>
      </c>
    </row>
    <row r="21" spans="2:12" ht="15.75" customHeight="1" x14ac:dyDescent="0.45">
      <c r="B21" s="10" t="s">
        <v>160</v>
      </c>
      <c r="C21" s="15" t="s">
        <v>117</v>
      </c>
      <c r="D21" s="16">
        <v>1200</v>
      </c>
      <c r="E21" s="21">
        <f>IF($D21="","",$D21*INDEX(Допущения!$C$25:$G$30,MATCH($C21,Допущения!$B$25:$B$30,0),1))</f>
        <v>1200</v>
      </c>
      <c r="F21" s="21">
        <f>IF($D21="","",$D21*INDEX(Допущения!$C$25:$G$30,MATCH($C21,Допущения!$B$25:$B$30,0),2))</f>
        <v>1296</v>
      </c>
      <c r="G21" s="21">
        <f>IF($D21="","",$D21*INDEX(Допущения!$C$25:$G$30,MATCH($C21,Допущения!$B$25:$B$30,0),3))</f>
        <v>1399.68</v>
      </c>
      <c r="H21" s="21">
        <f>IF($D21="","",$D21*INDEX(Допущения!$C$25:$G$30,MATCH($C21,Допущения!$B$25:$B$30,0),4))</f>
        <v>1511.6544000000001</v>
      </c>
      <c r="I21" s="21">
        <f>IF($D21="","",$D21*INDEX(Допущения!$C$25:$G$30,MATCH($C21,Допущения!$B$25:$B$30,0),5))</f>
        <v>1632.5867520000004</v>
      </c>
      <c r="J21" s="21">
        <f t="shared" si="2"/>
        <v>7039.9211520000008</v>
      </c>
      <c r="K21" s="22"/>
      <c r="L21" s="23" t="s">
        <v>161</v>
      </c>
    </row>
    <row r="22" spans="2:12" ht="15.75" customHeight="1" x14ac:dyDescent="0.45">
      <c r="B22" s="10" t="s">
        <v>162</v>
      </c>
      <c r="C22" s="15" t="s">
        <v>117</v>
      </c>
      <c r="D22" s="16">
        <v>2400</v>
      </c>
      <c r="E22" s="21">
        <f>IF($D22="","",$D22*INDEX(Допущения!$C$25:$G$30,MATCH($C22,Допущения!$B$25:$B$30,0),1))</f>
        <v>2400</v>
      </c>
      <c r="F22" s="21">
        <f>IF($D22="","",$D22*INDEX(Допущения!$C$25:$G$30,MATCH($C22,Допущения!$B$25:$B$30,0),2))</f>
        <v>2592</v>
      </c>
      <c r="G22" s="21">
        <f>IF($D22="","",$D22*INDEX(Допущения!$C$25:$G$30,MATCH($C22,Допущения!$B$25:$B$30,0),3))</f>
        <v>2799.36</v>
      </c>
      <c r="H22" s="21">
        <f>IF($D22="","",$D22*INDEX(Допущения!$C$25:$G$30,MATCH($C22,Допущения!$B$25:$B$30,0),4))</f>
        <v>3023.3088000000002</v>
      </c>
      <c r="I22" s="21">
        <f>IF($D22="","",$D22*INDEX(Допущения!$C$25:$G$30,MATCH($C22,Допущения!$B$25:$B$30,0),5))</f>
        <v>3265.1735040000008</v>
      </c>
      <c r="J22" s="21">
        <f t="shared" si="2"/>
        <v>14079.842304000002</v>
      </c>
      <c r="K22" s="22"/>
      <c r="L22" s="23" t="s">
        <v>163</v>
      </c>
    </row>
    <row r="23" spans="2:12" ht="15.75" customHeight="1" x14ac:dyDescent="0.45">
      <c r="B23" s="10" t="s">
        <v>266</v>
      </c>
      <c r="C23" s="15" t="s">
        <v>117</v>
      </c>
      <c r="D23" s="16">
        <v>20900</v>
      </c>
      <c r="E23" s="21">
        <f>IF($D23="","",$D23*INDEX(Допущения!$C$25:$G$30,MATCH($C23,Допущения!$B$25:$B$30,0),1))</f>
        <v>20900</v>
      </c>
      <c r="F23" s="21">
        <f>IF($D23="","",$D23*INDEX(Допущения!$C$25:$G$30,MATCH($C23,Допущения!$B$25:$B$30,0),2))</f>
        <v>22572</v>
      </c>
      <c r="G23" s="21">
        <f>IF($D23="","",$D23*INDEX(Допущения!$C$25:$G$30,MATCH($C23,Допущения!$B$25:$B$30,0),3))</f>
        <v>24377.760000000002</v>
      </c>
      <c r="H23" s="21">
        <f>IF($D23="","",$D23*INDEX(Допущения!$C$25:$G$30,MATCH($C23,Допущения!$B$25:$B$30,0),4))</f>
        <v>26327.980800000005</v>
      </c>
      <c r="I23" s="21">
        <f>IF($D23="","",$D23*INDEX(Допущения!$C$25:$G$30,MATCH($C23,Допущения!$B$25:$B$30,0),5))</f>
        <v>28434.219264000007</v>
      </c>
      <c r="J23" s="21">
        <f t="shared" si="2"/>
        <v>122611.96006400001</v>
      </c>
      <c r="K23" s="22"/>
      <c r="L23" s="23" t="s">
        <v>267</v>
      </c>
    </row>
    <row r="24" spans="2:12" ht="15.75" customHeight="1" x14ac:dyDescent="0.45">
      <c r="B24" s="24" t="s">
        <v>152</v>
      </c>
      <c r="C24" s="25"/>
      <c r="D24" s="25"/>
      <c r="E24" s="26">
        <f t="shared" ref="E24:J24" si="3">SUM(E18:E23)</f>
        <v>38200</v>
      </c>
      <c r="F24" s="26">
        <f t="shared" si="3"/>
        <v>55598</v>
      </c>
      <c r="G24" s="26">
        <f t="shared" si="3"/>
        <v>83275.839999999997</v>
      </c>
      <c r="H24" s="26">
        <f t="shared" si="3"/>
        <v>106097.9072</v>
      </c>
      <c r="I24" s="26">
        <f t="shared" si="3"/>
        <v>129129.73977600003</v>
      </c>
      <c r="J24" s="26">
        <f t="shared" si="3"/>
        <v>412301.48697600001</v>
      </c>
      <c r="K24" s="27">
        <f>IFERROR(J24/$J$51,0)</f>
        <v>5.3258620857722381E-3</v>
      </c>
      <c r="L24" s="25"/>
    </row>
    <row r="25" spans="2:12" ht="15.75" customHeight="1" x14ac:dyDescent="0.45">
      <c r="C25" s="28"/>
    </row>
    <row r="26" spans="2:12" ht="15.75" customHeight="1" x14ac:dyDescent="0.45">
      <c r="B26" s="7" t="s">
        <v>165</v>
      </c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2:12" ht="15.75" customHeight="1" x14ac:dyDescent="0.45">
      <c r="B27" s="10" t="s">
        <v>166</v>
      </c>
      <c r="C27" s="15" t="s">
        <v>125</v>
      </c>
      <c r="D27" s="16">
        <v>480000</v>
      </c>
      <c r="E27" s="21">
        <f>IF($D27="","",$D27*INDEX(Допущения!$C$25:$G$30,MATCH($C27,Допущения!$B$25:$B$30,0),1))</f>
        <v>480000</v>
      </c>
      <c r="F27" s="21">
        <f>IF($D27="","",$D27*INDEX(Допущения!$C$25:$G$30,MATCH($C27,Допущения!$B$25:$B$30,0),2))</f>
        <v>2520000</v>
      </c>
      <c r="G27" s="21">
        <f>IF($D27="","",$D27*INDEX(Допущения!$C$25:$G$30,MATCH($C27,Допущения!$B$25:$B$30,0),3))</f>
        <v>6600000</v>
      </c>
      <c r="H27" s="21">
        <f>IF($D27="","",$D27*INDEX(Допущения!$C$25:$G$30,MATCH($C27,Допущения!$B$25:$B$30,0),4))</f>
        <v>11500000</v>
      </c>
      <c r="I27" s="21">
        <f>IF($D27="","",$D27*INDEX(Допущения!$C$25:$G$30,MATCH($C27,Допущения!$B$25:$B$30,0),5))</f>
        <v>16800000</v>
      </c>
      <c r="J27" s="21">
        <f>SUM(E27:I27)</f>
        <v>37900000</v>
      </c>
      <c r="K27" s="22"/>
      <c r="L27" s="23" t="s">
        <v>167</v>
      </c>
    </row>
    <row r="28" spans="2:12" ht="15.75" customHeight="1" x14ac:dyDescent="0.45">
      <c r="B28" s="10" t="s">
        <v>168</v>
      </c>
      <c r="C28" s="15" t="s">
        <v>123</v>
      </c>
      <c r="D28" s="16">
        <v>90000</v>
      </c>
      <c r="E28" s="21">
        <f>IF($D28="","",$D28*INDEX(Допущения!$C$25:$G$30,MATCH($C28,Допущения!$B$25:$B$30,0),1))</f>
        <v>90000</v>
      </c>
      <c r="F28" s="21">
        <f>IF($D28="","",$D28*INDEX(Допущения!$C$25:$G$30,MATCH($C28,Допущения!$B$25:$B$30,0),2))</f>
        <v>450000</v>
      </c>
      <c r="G28" s="21">
        <f>IF($D28="","",$D28*INDEX(Допущения!$C$25:$G$30,MATCH($C28,Допущения!$B$25:$B$30,0),3))</f>
        <v>1125000</v>
      </c>
      <c r="H28" s="21">
        <f>IF($D28="","",$D28*INDEX(Допущения!$C$25:$G$30,MATCH($C28,Допущения!$B$25:$B$30,0),4))</f>
        <v>1875000</v>
      </c>
      <c r="I28" s="21">
        <f>IF($D28="","",$D28*INDEX(Допущения!$C$25:$G$30,MATCH($C28,Допущения!$B$25:$B$30,0),5))</f>
        <v>2625000</v>
      </c>
      <c r="J28" s="21">
        <f>SUM(E28:I28)</f>
        <v>6165000</v>
      </c>
      <c r="K28" s="22"/>
      <c r="L28" s="23" t="s">
        <v>169</v>
      </c>
    </row>
    <row r="29" spans="2:12" ht="15.75" customHeight="1" x14ac:dyDescent="0.45">
      <c r="B29" s="10" t="s">
        <v>170</v>
      </c>
      <c r="C29" s="15" t="s">
        <v>123</v>
      </c>
      <c r="D29" s="16">
        <v>18000</v>
      </c>
      <c r="E29" s="21">
        <f>IF($D29="","",$D29*INDEX(Допущения!$C$25:$G$30,MATCH($C29,Допущения!$B$25:$B$30,0),1))</f>
        <v>18000</v>
      </c>
      <c r="F29" s="21">
        <f>IF($D29="","",$D29*INDEX(Допущения!$C$25:$G$30,MATCH($C29,Допущения!$B$25:$B$30,0),2))</f>
        <v>90000</v>
      </c>
      <c r="G29" s="21">
        <f>IF($D29="","",$D29*INDEX(Допущения!$C$25:$G$30,MATCH($C29,Допущения!$B$25:$B$30,0),3))</f>
        <v>225000</v>
      </c>
      <c r="H29" s="21">
        <f>IF($D29="","",$D29*INDEX(Допущения!$C$25:$G$30,MATCH($C29,Допущения!$B$25:$B$30,0),4))</f>
        <v>375000</v>
      </c>
      <c r="I29" s="21">
        <f>IF($D29="","",$D29*INDEX(Допущения!$C$25:$G$30,MATCH($C29,Допущения!$B$25:$B$30,0),5))</f>
        <v>525000</v>
      </c>
      <c r="J29" s="21">
        <f>SUM(E29:I29)</f>
        <v>1233000</v>
      </c>
      <c r="K29" s="22"/>
      <c r="L29" s="23" t="s">
        <v>171</v>
      </c>
    </row>
    <row r="30" spans="2:12" ht="15.75" customHeight="1" x14ac:dyDescent="0.45">
      <c r="B30" s="10" t="s">
        <v>172</v>
      </c>
      <c r="C30" s="15" t="s">
        <v>123</v>
      </c>
      <c r="D30" s="16">
        <v>180000</v>
      </c>
      <c r="E30" s="21">
        <f>IF($D30="","",$D30*INDEX(Допущения!$C$25:$G$30,MATCH($C30,Допущения!$B$25:$B$30,0),1))</f>
        <v>180000</v>
      </c>
      <c r="F30" s="21">
        <f>IF($D30="","",$D30*INDEX(Допущения!$C$25:$G$30,MATCH($C30,Допущения!$B$25:$B$30,0),2))</f>
        <v>900000</v>
      </c>
      <c r="G30" s="21">
        <f>IF($D30="","",$D30*INDEX(Допущения!$C$25:$G$30,MATCH($C30,Допущения!$B$25:$B$30,0),3))</f>
        <v>2250000</v>
      </c>
      <c r="H30" s="21">
        <f>IF($D30="","",$D30*INDEX(Допущения!$C$25:$G$30,MATCH($C30,Допущения!$B$25:$B$30,0),4))</f>
        <v>3750000</v>
      </c>
      <c r="I30" s="21">
        <f>IF($D30="","",$D30*INDEX(Допущения!$C$25:$G$30,MATCH($C30,Допущения!$B$25:$B$30,0),5))</f>
        <v>5250000</v>
      </c>
      <c r="J30" s="21">
        <f>SUM(E30:I30)</f>
        <v>12330000</v>
      </c>
      <c r="K30" s="22"/>
      <c r="L30" s="23" t="s">
        <v>173</v>
      </c>
    </row>
    <row r="31" spans="2:12" ht="15.75" customHeight="1" x14ac:dyDescent="0.45">
      <c r="B31" s="10"/>
      <c r="C31" s="15" t="s">
        <v>115</v>
      </c>
      <c r="D31" s="16"/>
      <c r="E31" s="21" t="str">
        <f>IF($D31="","",$D31*INDEX(Допущения!$C$25:$G$30,MATCH($C31,Допущения!$B$25:$B$30,0),1))</f>
        <v/>
      </c>
      <c r="F31" s="21" t="str">
        <f>IF($D31="","",$D31*INDEX(Допущения!$C$25:$G$30,MATCH($C31,Допущения!$B$25:$B$30,0),2))</f>
        <v/>
      </c>
      <c r="G31" s="21" t="str">
        <f>IF($D31="","",$D31*INDEX(Допущения!$C$25:$G$30,MATCH($C31,Допущения!$B$25:$B$30,0),3))</f>
        <v/>
      </c>
      <c r="H31" s="21" t="str">
        <f>IF($D31="","",$D31*INDEX(Допущения!$C$25:$G$30,MATCH($C31,Допущения!$B$25:$B$30,0),4))</f>
        <v/>
      </c>
      <c r="I31" s="21" t="str">
        <f>IF($D31="","",$D31*INDEX(Допущения!$C$25:$G$30,MATCH($C31,Допущения!$B$25:$B$30,0),5))</f>
        <v/>
      </c>
      <c r="J31" s="21">
        <f>SUM(E31:I31)</f>
        <v>0</v>
      </c>
      <c r="K31" s="22"/>
      <c r="L31" s="23" t="s">
        <v>164</v>
      </c>
    </row>
    <row r="32" spans="2:12" ht="15.75" customHeight="1" x14ac:dyDescent="0.45">
      <c r="B32" s="24" t="s">
        <v>152</v>
      </c>
      <c r="C32" s="25"/>
      <c r="D32" s="25"/>
      <c r="E32" s="26">
        <f t="shared" ref="E32:J32" si="4">SUM(E27:E31)</f>
        <v>768000</v>
      </c>
      <c r="F32" s="26">
        <f t="shared" si="4"/>
        <v>3960000</v>
      </c>
      <c r="G32" s="26">
        <f t="shared" si="4"/>
        <v>10200000</v>
      </c>
      <c r="H32" s="26">
        <f t="shared" si="4"/>
        <v>17500000</v>
      </c>
      <c r="I32" s="26">
        <f t="shared" si="4"/>
        <v>25200000</v>
      </c>
      <c r="J32" s="26">
        <f t="shared" si="4"/>
        <v>57628000</v>
      </c>
      <c r="K32" s="27">
        <f>IFERROR(J32/$J$51,0)</f>
        <v>0.74440376756814408</v>
      </c>
      <c r="L32" s="25"/>
    </row>
    <row r="33" spans="2:12" ht="15.75" customHeight="1" x14ac:dyDescent="0.45">
      <c r="C33" s="28"/>
    </row>
    <row r="34" spans="2:12" ht="15.75" customHeight="1" x14ac:dyDescent="0.45">
      <c r="B34" s="7" t="s">
        <v>174</v>
      </c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2:12" ht="15.75" customHeight="1" x14ac:dyDescent="0.45">
      <c r="B35" s="10" t="s">
        <v>175</v>
      </c>
      <c r="C35" s="15" t="s">
        <v>119</v>
      </c>
      <c r="D35" s="16">
        <v>720000</v>
      </c>
      <c r="E35" s="21">
        <f>IF($D35="","",$D35*INDEX(Допущения!$C$25:$G$30,MATCH($C35,Допущения!$B$25:$B$30,0),1))</f>
        <v>720000</v>
      </c>
      <c r="F35" s="21">
        <f>IF($D35="","",$D35*INDEX(Допущения!$C$25:$G$30,MATCH($C35,Допущения!$B$25:$B$30,0),2))</f>
        <v>792000.00000000012</v>
      </c>
      <c r="G35" s="21">
        <f>IF($D35="","",$D35*INDEX(Допущения!$C$25:$G$30,MATCH($C35,Допущения!$B$25:$B$30,0),3))</f>
        <v>871200.00000000012</v>
      </c>
      <c r="H35" s="21">
        <f>IF($D35="","",$D35*INDEX(Допущения!$C$25:$G$30,MATCH($C35,Допущения!$B$25:$B$30,0),4))</f>
        <v>958320.00000000035</v>
      </c>
      <c r="I35" s="21">
        <f>IF($D35="","",$D35*INDEX(Допущения!$C$25:$G$30,MATCH($C35,Допущения!$B$25:$B$30,0),5))</f>
        <v>1054152.0000000005</v>
      </c>
      <c r="J35" s="21">
        <f>SUM(E35:I35)</f>
        <v>4395672.0000000009</v>
      </c>
      <c r="K35" s="22"/>
      <c r="L35" s="23" t="s">
        <v>268</v>
      </c>
    </row>
    <row r="36" spans="2:12" ht="15.75" customHeight="1" x14ac:dyDescent="0.45">
      <c r="B36" s="10" t="s">
        <v>177</v>
      </c>
      <c r="C36" s="15" t="s">
        <v>119</v>
      </c>
      <c r="D36" s="16">
        <v>240000</v>
      </c>
      <c r="E36" s="21">
        <f>IF($D36="","",$D36*INDEX(Допущения!$C$25:$G$30,MATCH($C36,Допущения!$B$25:$B$30,0),1))</f>
        <v>240000</v>
      </c>
      <c r="F36" s="21">
        <f>IF($D36="","",$D36*INDEX(Допущения!$C$25:$G$30,MATCH($C36,Допущения!$B$25:$B$30,0),2))</f>
        <v>264000</v>
      </c>
      <c r="G36" s="21">
        <f>IF($D36="","",$D36*INDEX(Допущения!$C$25:$G$30,MATCH($C36,Допущения!$B$25:$B$30,0),3))</f>
        <v>290400.00000000006</v>
      </c>
      <c r="H36" s="21">
        <f>IF($D36="","",$D36*INDEX(Допущения!$C$25:$G$30,MATCH($C36,Допущения!$B$25:$B$30,0),4))</f>
        <v>319440.00000000012</v>
      </c>
      <c r="I36" s="21">
        <f>IF($D36="","",$D36*INDEX(Допущения!$C$25:$G$30,MATCH($C36,Допущения!$B$25:$B$30,0),5))</f>
        <v>351384.00000000017</v>
      </c>
      <c r="J36" s="21">
        <f>SUM(E36:I36)</f>
        <v>1465224.0000000002</v>
      </c>
      <c r="K36" s="22"/>
      <c r="L36" s="23" t="s">
        <v>269</v>
      </c>
    </row>
    <row r="37" spans="2:12" ht="15.75" customHeight="1" x14ac:dyDescent="0.45">
      <c r="B37" s="10" t="s">
        <v>179</v>
      </c>
      <c r="C37" s="15" t="s">
        <v>119</v>
      </c>
      <c r="D37" s="16">
        <v>96000</v>
      </c>
      <c r="E37" s="21">
        <f>IF($D37="","",$D37*INDEX(Допущения!$C$25:$G$30,MATCH($C37,Допущения!$B$25:$B$30,0),1))</f>
        <v>96000</v>
      </c>
      <c r="F37" s="21">
        <f>IF($D37="","",$D37*INDEX(Допущения!$C$25:$G$30,MATCH($C37,Допущения!$B$25:$B$30,0),2))</f>
        <v>105600.00000000001</v>
      </c>
      <c r="G37" s="21">
        <f>IF($D37="","",$D37*INDEX(Допущения!$C$25:$G$30,MATCH($C37,Допущения!$B$25:$B$30,0),3))</f>
        <v>116160.00000000001</v>
      </c>
      <c r="H37" s="21">
        <f>IF($D37="","",$D37*INDEX(Допущения!$C$25:$G$30,MATCH($C37,Допущения!$B$25:$B$30,0),4))</f>
        <v>127776.00000000004</v>
      </c>
      <c r="I37" s="21">
        <f>IF($D37="","",$D37*INDEX(Допущения!$C$25:$G$30,MATCH($C37,Допущения!$B$25:$B$30,0),5))</f>
        <v>140553.60000000006</v>
      </c>
      <c r="J37" s="21">
        <f>SUM(E37:I37)</f>
        <v>586089.60000000009</v>
      </c>
      <c r="K37" s="22"/>
      <c r="L37" s="23" t="s">
        <v>270</v>
      </c>
    </row>
    <row r="38" spans="2:12" ht="15.75" customHeight="1" x14ac:dyDescent="0.45">
      <c r="B38" s="10" t="s">
        <v>181</v>
      </c>
      <c r="C38" s="15" t="s">
        <v>119</v>
      </c>
      <c r="D38" s="16">
        <v>150000</v>
      </c>
      <c r="E38" s="21">
        <f>IF($D38="","",$D38*INDEX(Допущения!$C$25:$G$30,MATCH($C38,Допущения!$B$25:$B$30,0),1))</f>
        <v>150000</v>
      </c>
      <c r="F38" s="21">
        <f>IF($D38="","",$D38*INDEX(Допущения!$C$25:$G$30,MATCH($C38,Допущения!$B$25:$B$30,0),2))</f>
        <v>165000</v>
      </c>
      <c r="G38" s="21">
        <f>IF($D38="","",$D38*INDEX(Допущения!$C$25:$G$30,MATCH($C38,Допущения!$B$25:$B$30,0),3))</f>
        <v>181500.00000000003</v>
      </c>
      <c r="H38" s="21">
        <f>IF($D38="","",$D38*INDEX(Допущения!$C$25:$G$30,MATCH($C38,Допущения!$B$25:$B$30,0),4))</f>
        <v>199650.00000000006</v>
      </c>
      <c r="I38" s="21">
        <f>IF($D38="","",$D38*INDEX(Допущения!$C$25:$G$30,MATCH($C38,Допущения!$B$25:$B$30,0),5))</f>
        <v>219615.00000000009</v>
      </c>
      <c r="J38" s="21">
        <f>SUM(E38:I38)</f>
        <v>915765.00000000012</v>
      </c>
      <c r="K38" s="22"/>
      <c r="L38" s="23" t="s">
        <v>250</v>
      </c>
    </row>
    <row r="39" spans="2:12" ht="15.75" customHeight="1" x14ac:dyDescent="0.45">
      <c r="B39" s="10"/>
      <c r="C39" s="15" t="s">
        <v>115</v>
      </c>
      <c r="D39" s="16"/>
      <c r="E39" s="21" t="str">
        <f>IF($D39="","",$D39*INDEX(Допущения!$C$25:$G$30,MATCH($C39,Допущения!$B$25:$B$30,0),1))</f>
        <v/>
      </c>
      <c r="F39" s="21" t="str">
        <f>IF($D39="","",$D39*INDEX(Допущения!$C$25:$G$30,MATCH($C39,Допущения!$B$25:$B$30,0),2))</f>
        <v/>
      </c>
      <c r="G39" s="21" t="str">
        <f>IF($D39="","",$D39*INDEX(Допущения!$C$25:$G$30,MATCH($C39,Допущения!$B$25:$B$30,0),3))</f>
        <v/>
      </c>
      <c r="H39" s="21" t="str">
        <f>IF($D39="","",$D39*INDEX(Допущения!$C$25:$G$30,MATCH($C39,Допущения!$B$25:$B$30,0),4))</f>
        <v/>
      </c>
      <c r="I39" s="21" t="str">
        <f>IF($D39="","",$D39*INDEX(Допущения!$C$25:$G$30,MATCH($C39,Допущения!$B$25:$B$30,0),5))</f>
        <v/>
      </c>
      <c r="J39" s="21">
        <f>SUM(E39:I39)</f>
        <v>0</v>
      </c>
      <c r="K39" s="22"/>
      <c r="L39" s="23" t="s">
        <v>164</v>
      </c>
    </row>
    <row r="40" spans="2:12" ht="15.75" customHeight="1" x14ac:dyDescent="0.45">
      <c r="B40" s="24" t="s">
        <v>152</v>
      </c>
      <c r="C40" s="25"/>
      <c r="D40" s="25"/>
      <c r="E40" s="26">
        <f t="shared" ref="E40:J40" si="5">SUM(E35:E39)</f>
        <v>1206000</v>
      </c>
      <c r="F40" s="26">
        <f t="shared" si="5"/>
        <v>1326600</v>
      </c>
      <c r="G40" s="26">
        <f t="shared" si="5"/>
        <v>1459260.0000000002</v>
      </c>
      <c r="H40" s="26">
        <f t="shared" si="5"/>
        <v>1605186.0000000005</v>
      </c>
      <c r="I40" s="26">
        <f t="shared" si="5"/>
        <v>1765704.6000000008</v>
      </c>
      <c r="J40" s="26">
        <f t="shared" si="5"/>
        <v>7362750.6000000015</v>
      </c>
      <c r="K40" s="27">
        <f>IFERROR(J40/$J$51,0)</f>
        <v>9.5107574205327533E-2</v>
      </c>
      <c r="L40" s="25"/>
    </row>
    <row r="41" spans="2:12" ht="15.75" customHeight="1" x14ac:dyDescent="0.45">
      <c r="C41" s="28"/>
    </row>
    <row r="42" spans="2:12" ht="15.75" customHeight="1" x14ac:dyDescent="0.45">
      <c r="B42" s="7" t="s">
        <v>185</v>
      </c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2:12" ht="15.75" customHeight="1" x14ac:dyDescent="0.45">
      <c r="B43" s="10" t="s">
        <v>186</v>
      </c>
      <c r="C43" s="15" t="s">
        <v>115</v>
      </c>
      <c r="D43" s="16">
        <v>25000</v>
      </c>
      <c r="E43" s="21">
        <f>IF($D43="","",$D43*INDEX(Допущения!$C$25:$G$30,MATCH($C43,Допущения!$B$25:$B$30,0),1))</f>
        <v>25000</v>
      </c>
      <c r="F43" s="16">
        <v>10000</v>
      </c>
      <c r="G43" s="16">
        <v>10000</v>
      </c>
      <c r="H43" s="16">
        <v>10000</v>
      </c>
      <c r="I43" s="16">
        <v>10000</v>
      </c>
      <c r="J43" s="21">
        <f>SUM(E43:I43)</f>
        <v>65000</v>
      </c>
      <c r="K43" s="22"/>
      <c r="L43" s="23" t="s">
        <v>252</v>
      </c>
    </row>
    <row r="44" spans="2:12" ht="15.75" customHeight="1" x14ac:dyDescent="0.45">
      <c r="B44" s="10" t="s">
        <v>188</v>
      </c>
      <c r="C44" s="15" t="s">
        <v>117</v>
      </c>
      <c r="D44" s="16">
        <v>15000</v>
      </c>
      <c r="E44" s="21">
        <f>IF($D44="","",$D44*INDEX(Допущения!$C$25:$G$30,MATCH($C44,Допущения!$B$25:$B$30,0),1))</f>
        <v>15000</v>
      </c>
      <c r="F44" s="21">
        <f>IF($D44="","",$D44*INDEX(Допущения!$C$25:$G$30,MATCH($C44,Допущения!$B$25:$B$30,0),2))</f>
        <v>16200.000000000002</v>
      </c>
      <c r="G44" s="21">
        <f>IF($D44="","",$D44*INDEX(Допущения!$C$25:$G$30,MATCH($C44,Допущения!$B$25:$B$30,0),3))</f>
        <v>17496</v>
      </c>
      <c r="H44" s="21">
        <f>IF($D44="","",$D44*INDEX(Допущения!$C$25:$G$30,MATCH($C44,Допущения!$B$25:$B$30,0),4))</f>
        <v>18895.680000000004</v>
      </c>
      <c r="I44" s="21">
        <f>IF($D44="","",$D44*INDEX(Допущения!$C$25:$G$30,MATCH($C44,Допущения!$B$25:$B$30,0),5))</f>
        <v>20407.334400000003</v>
      </c>
      <c r="J44" s="21">
        <f>SUM(E44:I44)</f>
        <v>87999.014400000015</v>
      </c>
      <c r="K44" s="22"/>
      <c r="L44" s="23" t="s">
        <v>271</v>
      </c>
    </row>
    <row r="45" spans="2:12" ht="15.75" customHeight="1" x14ac:dyDescent="0.45">
      <c r="B45" s="10" t="s">
        <v>190</v>
      </c>
      <c r="C45" s="15" t="s">
        <v>115</v>
      </c>
      <c r="D45" s="16">
        <v>0</v>
      </c>
      <c r="E45" s="21">
        <f>IF($D45="","",$D45*INDEX(Допущения!$C$25:$G$30,MATCH($C45,Допущения!$B$25:$B$30,0),1))</f>
        <v>0</v>
      </c>
      <c r="F45" s="21">
        <f>IF($D45="","",$D45*INDEX(Допущения!$C$25:$G$30,MATCH($C45,Допущения!$B$25:$B$30,0),2))</f>
        <v>0</v>
      </c>
      <c r="G45" s="21">
        <f>IF($D45="","",$D45*INDEX(Допущения!$C$25:$G$30,MATCH($C45,Допущения!$B$25:$B$30,0),3))</f>
        <v>0</v>
      </c>
      <c r="H45" s="21">
        <f>IF($D45="","",$D45*INDEX(Допущения!$C$25:$G$30,MATCH($C45,Допущения!$B$25:$B$30,0),4))</f>
        <v>0</v>
      </c>
      <c r="I45" s="21">
        <f>IF($D45="","",$D45*INDEX(Допущения!$C$25:$G$30,MATCH($C45,Допущения!$B$25:$B$30,0),5))</f>
        <v>0</v>
      </c>
      <c r="J45" s="21">
        <f>SUM(E45:I45)</f>
        <v>0</v>
      </c>
      <c r="K45" s="22"/>
      <c r="L45" s="23" t="s">
        <v>191</v>
      </c>
    </row>
    <row r="46" spans="2:12" ht="15.75" customHeight="1" x14ac:dyDescent="0.45">
      <c r="B46" s="10" t="s">
        <v>192</v>
      </c>
      <c r="C46" s="15" t="s">
        <v>115</v>
      </c>
      <c r="D46" s="16">
        <v>40000</v>
      </c>
      <c r="E46" s="21">
        <f>IF($D46="","",$D46*INDEX(Допущения!$C$25:$G$30,MATCH($C46,Допущения!$B$25:$B$30,0),1))</f>
        <v>40000</v>
      </c>
      <c r="F46" s="16">
        <v>0</v>
      </c>
      <c r="G46" s="16">
        <v>0</v>
      </c>
      <c r="H46" s="16">
        <v>0</v>
      </c>
      <c r="I46" s="16">
        <v>0</v>
      </c>
      <c r="J46" s="21">
        <f>SUM(E46:I46)</f>
        <v>40000</v>
      </c>
      <c r="K46" s="22"/>
      <c r="L46" s="23" t="s">
        <v>272</v>
      </c>
    </row>
    <row r="47" spans="2:12" ht="15.75" customHeight="1" x14ac:dyDescent="0.45">
      <c r="B47" s="10" t="s">
        <v>273</v>
      </c>
      <c r="C47" s="15" t="s">
        <v>115</v>
      </c>
      <c r="D47" s="16">
        <v>95000</v>
      </c>
      <c r="E47" s="21">
        <f>IF($D47="","",$D47*INDEX(Допущения!$C$25:$G$30,MATCH($C47,Допущения!$B$25:$B$30,0),1))</f>
        <v>95000</v>
      </c>
      <c r="F47" s="16">
        <v>0</v>
      </c>
      <c r="G47" s="16">
        <v>0</v>
      </c>
      <c r="H47" s="16">
        <v>0</v>
      </c>
      <c r="I47" s="16">
        <v>0</v>
      </c>
      <c r="J47" s="21">
        <f>SUM(E47:I47)</f>
        <v>95000</v>
      </c>
      <c r="K47" s="22"/>
      <c r="L47" s="23" t="s">
        <v>274</v>
      </c>
    </row>
    <row r="48" spans="2:12" ht="15.75" customHeight="1" x14ac:dyDescent="0.45">
      <c r="B48" s="24" t="s">
        <v>152</v>
      </c>
      <c r="C48" s="25"/>
      <c r="D48" s="25"/>
      <c r="E48" s="26">
        <f t="shared" ref="E48:J48" si="6">SUM(E43:E47)</f>
        <v>175000</v>
      </c>
      <c r="F48" s="26">
        <f t="shared" si="6"/>
        <v>26200</v>
      </c>
      <c r="G48" s="26">
        <f t="shared" si="6"/>
        <v>27496</v>
      </c>
      <c r="H48" s="26">
        <f t="shared" si="6"/>
        <v>28895.680000000004</v>
      </c>
      <c r="I48" s="26">
        <f t="shared" si="6"/>
        <v>30407.334400000003</v>
      </c>
      <c r="J48" s="26">
        <f t="shared" si="6"/>
        <v>287999.01439999999</v>
      </c>
      <c r="K48" s="27">
        <f>IFERROR(J48/$J$51,0)</f>
        <v>3.7201976708418163E-3</v>
      </c>
      <c r="L48" s="25"/>
    </row>
    <row r="49" spans="2:12" ht="15.75" customHeight="1" x14ac:dyDescent="0.45">
      <c r="C49" s="28"/>
    </row>
    <row r="50" spans="2:12" ht="15.75" customHeight="1" x14ac:dyDescent="0.45">
      <c r="B50" s="13" t="s">
        <v>194</v>
      </c>
      <c r="C50" s="28"/>
      <c r="E50" s="29">
        <f>(E15+E24+E32+E40+E48)*Допущения!$C$17</f>
        <v>338790</v>
      </c>
      <c r="F50" s="29">
        <f>(F15+F24+F32+F40+F48)*Допущения!$C$17</f>
        <v>830628.9</v>
      </c>
      <c r="G50" s="29">
        <f>(G15+G24+G32+G40+G48)*Допущения!$C$17</f>
        <v>1815259.5119999999</v>
      </c>
      <c r="H50" s="29">
        <f>(H15+H24+H32+H40+H48)*Допущения!$C$17</f>
        <v>2955314.05296</v>
      </c>
      <c r="I50" s="29">
        <f>(I15+I24+I32+I40+I48)*Допущения!$C$17</f>
        <v>4157613.1351967999</v>
      </c>
      <c r="J50" s="21">
        <f>SUM(E50:I50)</f>
        <v>10097605.600156799</v>
      </c>
      <c r="L50" s="6" t="s">
        <v>195</v>
      </c>
    </row>
    <row r="51" spans="2:12" ht="15.75" customHeight="1" x14ac:dyDescent="0.45">
      <c r="B51" s="24" t="s">
        <v>196</v>
      </c>
      <c r="C51" s="28"/>
      <c r="E51" s="26">
        <f>E15+E24+E32+E40+E48+E50</f>
        <v>2597390</v>
      </c>
      <c r="F51" s="26">
        <f>F15+F24+F32+F40+F48+F50</f>
        <v>6368154.9000000004</v>
      </c>
      <c r="G51" s="26">
        <f>G15+G24+G32+G40+G48+G50</f>
        <v>13916989.592</v>
      </c>
      <c r="H51" s="26">
        <f>H15+H24+H32+H40+H48+H50</f>
        <v>22657407.739360001</v>
      </c>
      <c r="I51" s="26">
        <f>I15+I24+I32+I40+I48+I50</f>
        <v>31875034.036508802</v>
      </c>
      <c r="J51" s="26">
        <f>SUM(E51:I51)</f>
        <v>77414976.267868802</v>
      </c>
    </row>
    <row r="52" spans="2:12" ht="15.75" customHeight="1" x14ac:dyDescent="0.45">
      <c r="B52" s="7" t="s">
        <v>197</v>
      </c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2:12" ht="15.75" customHeight="1" x14ac:dyDescent="0.45">
      <c r="B53" s="10" t="s">
        <v>198</v>
      </c>
      <c r="E53" s="29">
        <f>(1-E$80)*Допущения!C$10*Допущения!$C$22*Допущения!$C$21</f>
        <v>7199.9999999992069</v>
      </c>
      <c r="F53" s="29">
        <f>(1-F$80)*Допущения!D$10*Допущения!$C$22*Допущения!$C$21</f>
        <v>37799.999999995838</v>
      </c>
      <c r="G53" s="29">
        <f>(1-G$80)*Допущения!E$10*Допущения!$C$22*Допущения!$C$21</f>
        <v>98999.999999989086</v>
      </c>
      <c r="H53" s="29">
        <f>(1-H$80)*Допущения!F$10*Допущения!$C$22*Допущения!$C$21</f>
        <v>172499.99999998102</v>
      </c>
      <c r="I53" s="29">
        <f>(1-I$80)*Допущения!G$10*Допущения!$C$22*Допущения!$C$21</f>
        <v>251999.99999997223</v>
      </c>
      <c r="J53" s="21">
        <f>SUM(E53:I53)</f>
        <v>568499.99999993737</v>
      </c>
      <c r="L53" s="32" t="s">
        <v>199</v>
      </c>
    </row>
    <row r="54" spans="2:12" ht="15.75" customHeight="1" x14ac:dyDescent="0.45">
      <c r="B54" s="24" t="s">
        <v>200</v>
      </c>
      <c r="E54" s="26">
        <f>E51+E53</f>
        <v>2604589.9999999991</v>
      </c>
      <c r="F54" s="26">
        <f>F51+F53</f>
        <v>6405954.8999999966</v>
      </c>
      <c r="G54" s="26">
        <f>G51+G53</f>
        <v>14015989.591999989</v>
      </c>
      <c r="H54" s="26">
        <f>H51+H53</f>
        <v>22829907.739359982</v>
      </c>
      <c r="I54" s="26">
        <f>I51+I53</f>
        <v>32127034.036508776</v>
      </c>
      <c r="J54" s="26">
        <f>SUM(E54:I54)</f>
        <v>77983476.267868742</v>
      </c>
    </row>
    <row r="55" spans="2:12" ht="15.75" customHeight="1" x14ac:dyDescent="0.45">
      <c r="B55" s="10" t="s">
        <v>201</v>
      </c>
      <c r="E55" s="30">
        <f>1/(1+Допущения!$C$16)^0</f>
        <v>1</v>
      </c>
      <c r="F55" s="30">
        <f>1/(1+Допущения!$C$16)^1</f>
        <v>0.8</v>
      </c>
      <c r="G55" s="30">
        <f>1/(1+Допущения!$C$16)^2</f>
        <v>0.64</v>
      </c>
      <c r="H55" s="30">
        <f>1/(1+Допущения!$C$16)^3</f>
        <v>0.51200000000000001</v>
      </c>
      <c r="I55" s="30">
        <f>1/(1+Допущения!$C$16)^4</f>
        <v>0.40960000000000002</v>
      </c>
    </row>
    <row r="56" spans="2:12" ht="15.75" customHeight="1" x14ac:dyDescent="0.45">
      <c r="B56" s="24" t="s">
        <v>202</v>
      </c>
      <c r="E56" s="26">
        <f>E54*E55</f>
        <v>2604589.9999999991</v>
      </c>
      <c r="F56" s="26">
        <f>F54*F55</f>
        <v>5124763.9199999981</v>
      </c>
      <c r="G56" s="26">
        <f>G54*G55</f>
        <v>8970233.3388799932</v>
      </c>
      <c r="H56" s="26">
        <f>H54*H55</f>
        <v>11688912.762552312</v>
      </c>
      <c r="I56" s="26">
        <f>I54*I55</f>
        <v>13159233.141353995</v>
      </c>
      <c r="J56" s="26">
        <f>SUM(E56:I56)</f>
        <v>41547733.162786298</v>
      </c>
    </row>
    <row r="57" spans="2:12" ht="15.75" customHeight="1" x14ac:dyDescent="0.45"/>
    <row r="58" spans="2:12" ht="15.75" customHeight="1" x14ac:dyDescent="0.45">
      <c r="B58" s="7" t="s">
        <v>203</v>
      </c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2:12" ht="15.75" customHeight="1" x14ac:dyDescent="0.45">
      <c r="B59" s="13" t="s">
        <v>204</v>
      </c>
      <c r="E59" s="50">
        <f>J51</f>
        <v>77414976.267868802</v>
      </c>
      <c r="F59" s="51"/>
      <c r="L59" s="32" t="s">
        <v>205</v>
      </c>
    </row>
    <row r="60" spans="2:12" ht="15.75" customHeight="1" x14ac:dyDescent="0.45">
      <c r="B60" s="13" t="s">
        <v>206</v>
      </c>
      <c r="E60" s="50">
        <f>J54</f>
        <v>77983476.267868742</v>
      </c>
      <c r="F60" s="51"/>
      <c r="L60" s="32" t="s">
        <v>207</v>
      </c>
    </row>
    <row r="61" spans="2:12" ht="15.75" customHeight="1" x14ac:dyDescent="0.45">
      <c r="B61" s="13" t="s">
        <v>208</v>
      </c>
      <c r="E61" s="50">
        <f>J56</f>
        <v>41547733.162786298</v>
      </c>
      <c r="F61" s="51"/>
      <c r="L61" s="32" t="s">
        <v>209</v>
      </c>
    </row>
    <row r="62" spans="2:12" ht="15.75" customHeight="1" x14ac:dyDescent="0.45">
      <c r="B62" s="13" t="s">
        <v>210</v>
      </c>
      <c r="E62" s="50">
        <f>J51/5</f>
        <v>15482995.25357376</v>
      </c>
      <c r="F62" s="51"/>
      <c r="L62" s="32" t="s">
        <v>211</v>
      </c>
    </row>
    <row r="63" spans="2:12" ht="15.75" customHeight="1" x14ac:dyDescent="0.45">
      <c r="B63" s="13" t="s">
        <v>212</v>
      </c>
      <c r="E63" s="50">
        <f>E15/12</f>
        <v>5950</v>
      </c>
      <c r="F63" s="51"/>
      <c r="L63" s="32" t="s">
        <v>213</v>
      </c>
    </row>
    <row r="64" spans="2:12" ht="15.75" customHeight="1" x14ac:dyDescent="0.45">
      <c r="B64" s="13" t="s">
        <v>214</v>
      </c>
      <c r="E64" s="64" t="str">
        <f>IF(E15/12&lt;=Допущения!$C$18,"В бюджете CFO","ПРЕВЫШЕНИЕ бюджета")</f>
        <v>ПРЕВЫШЕНИЕ бюджета</v>
      </c>
      <c r="F64" s="51"/>
      <c r="L64" s="32" t="s">
        <v>215</v>
      </c>
    </row>
    <row r="65" spans="2:12" ht="15.75" customHeight="1" x14ac:dyDescent="0.45">
      <c r="B65" s="13" t="s">
        <v>65</v>
      </c>
      <c r="E65" s="63">
        <f>IFERROR(J51/SUM(Допущения!$C$8:$G$8),0)</f>
        <v>0.94178803245582488</v>
      </c>
      <c r="F65" s="51"/>
      <c r="L65" s="32" t="s">
        <v>216</v>
      </c>
    </row>
    <row r="66" spans="2:12" ht="15.75" customHeight="1" x14ac:dyDescent="0.45">
      <c r="B66" s="13" t="s">
        <v>217</v>
      </c>
      <c r="E66" s="63">
        <f>IFERROR(I51/Допущения!$G$7,0)</f>
        <v>3.541670448500978</v>
      </c>
      <c r="F66" s="51"/>
      <c r="L66" s="32" t="s">
        <v>218</v>
      </c>
    </row>
    <row r="67" spans="2:12" ht="15.75" customHeight="1" x14ac:dyDescent="0.45">
      <c r="B67" s="13" t="s">
        <v>219</v>
      </c>
      <c r="E67" s="62">
        <f>IFERROR(J51/SUM(Допущения!$C$10:$G$10),0)</f>
        <v>4.0852230220511244E-2</v>
      </c>
      <c r="F67" s="51"/>
      <c r="L67" s="32" t="s">
        <v>220</v>
      </c>
    </row>
    <row r="68" spans="2:12" ht="15.75" customHeight="1" x14ac:dyDescent="0.45">
      <c r="B68" s="13" t="s">
        <v>221</v>
      </c>
      <c r="E68" s="60">
        <f>IFERROR(J15/J51,0)</f>
        <v>2.1007815861218658E-2</v>
      </c>
      <c r="F68" s="51"/>
      <c r="L68" s="32" t="s">
        <v>222</v>
      </c>
    </row>
    <row r="69" spans="2:12" ht="15.75" customHeight="1" x14ac:dyDescent="0.45">
      <c r="B69" s="13" t="s">
        <v>223</v>
      </c>
      <c r="E69" s="60">
        <f>IFERROR(J32/J51,0)</f>
        <v>0.74440376756814408</v>
      </c>
      <c r="F69" s="51"/>
      <c r="L69" s="32" t="s">
        <v>224</v>
      </c>
    </row>
    <row r="70" spans="2:12" ht="15.75" customHeight="1" x14ac:dyDescent="0.45">
      <c r="B70" s="13" t="s">
        <v>225</v>
      </c>
      <c r="E70" s="60">
        <f>IFERROR(J40/J51,0)</f>
        <v>9.5107574205327533E-2</v>
      </c>
      <c r="F70" s="51"/>
      <c r="L70" s="32" t="s">
        <v>226</v>
      </c>
    </row>
    <row r="71" spans="2:12" ht="15.75" customHeight="1" x14ac:dyDescent="0.45"/>
    <row r="72" spans="2:12" ht="15.75" customHeight="1" x14ac:dyDescent="0.45">
      <c r="B72" s="61" t="s">
        <v>227</v>
      </c>
      <c r="C72" s="48"/>
      <c r="D72" s="48"/>
      <c r="E72" s="48"/>
      <c r="F72" s="48"/>
      <c r="G72" s="48"/>
      <c r="H72" s="48"/>
      <c r="I72" s="48"/>
      <c r="J72" s="48"/>
      <c r="K72" s="48"/>
      <c r="L72" s="48"/>
    </row>
    <row r="73" spans="2:12" ht="15" customHeight="1" x14ac:dyDescent="0.45">
      <c r="B73" s="52" t="s">
        <v>275</v>
      </c>
      <c r="C73" s="53"/>
      <c r="D73" s="53"/>
      <c r="E73" s="53"/>
      <c r="F73" s="53"/>
      <c r="G73" s="53"/>
      <c r="H73" s="53"/>
      <c r="I73" s="53"/>
      <c r="J73" s="53"/>
      <c r="K73" s="53"/>
      <c r="L73" s="54"/>
    </row>
    <row r="74" spans="2:12" ht="15.75" customHeight="1" x14ac:dyDescent="0.45">
      <c r="B74" s="55"/>
      <c r="C74" s="48"/>
      <c r="D74" s="48"/>
      <c r="E74" s="48"/>
      <c r="F74" s="48"/>
      <c r="G74" s="48"/>
      <c r="H74" s="48"/>
      <c r="I74" s="48"/>
      <c r="J74" s="48"/>
      <c r="K74" s="48"/>
      <c r="L74" s="56"/>
    </row>
    <row r="75" spans="2:12" ht="15.75" customHeight="1" x14ac:dyDescent="0.45">
      <c r="B75" s="57"/>
      <c r="C75" s="58"/>
      <c r="D75" s="58"/>
      <c r="E75" s="58"/>
      <c r="F75" s="58"/>
      <c r="G75" s="58"/>
      <c r="H75" s="58"/>
      <c r="I75" s="58"/>
      <c r="J75" s="58"/>
      <c r="K75" s="58"/>
      <c r="L75" s="59"/>
    </row>
    <row r="76" spans="2:12" ht="15.75" customHeight="1" x14ac:dyDescent="0.45"/>
    <row r="77" spans="2:12" ht="15.75" customHeight="1" x14ac:dyDescent="0.45">
      <c r="B77" t="s">
        <v>229</v>
      </c>
      <c r="E77" s="35">
        <f>(E15+E24)/12</f>
        <v>9133.3333333333339</v>
      </c>
      <c r="L77" t="s">
        <v>230</v>
      </c>
    </row>
    <row r="78" spans="2:12" ht="15.75" customHeight="1" x14ac:dyDescent="0.45">
      <c r="B78" t="s">
        <v>231</v>
      </c>
      <c r="E78" s="35" t="str">
        <f>IF((E15+E24)/12&lt;=Допущения!$C$18,"В бюджете CFO","ПРЕВЫШЕНИЕ бюджета")</f>
        <v>ПРЕВЫШЕНИЕ бюджета</v>
      </c>
    </row>
    <row r="79" spans="2:12" ht="15.75" customHeight="1" x14ac:dyDescent="0.45"/>
    <row r="80" spans="2:12" ht="15.75" customHeight="1" x14ac:dyDescent="0.45">
      <c r="B80" t="s">
        <v>232</v>
      </c>
      <c r="E80" s="36">
        <v>0.99990000000000001</v>
      </c>
      <c r="F80" s="36">
        <v>0.99990000000000001</v>
      </c>
      <c r="G80" s="36">
        <v>0.99990000000000001</v>
      </c>
      <c r="H80" s="36">
        <v>0.99990000000000001</v>
      </c>
      <c r="I80" s="36">
        <v>0.99990000000000001</v>
      </c>
      <c r="L80" t="s">
        <v>233</v>
      </c>
    </row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type="list" allowBlank="1" sqref="C6:C51" xr:uid="{00000000-0002-0000-0500-000000000000}">
      <formula1>"фикс,инфляция,ФОТ,пользователи,заказы,GMV"</formula1>
    </dataValidation>
  </dataValidation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39"/>
  <sheetViews>
    <sheetView tabSelected="1" topLeftCell="A20" workbookViewId="0">
      <selection activeCell="C18" sqref="C18"/>
    </sheetView>
  </sheetViews>
  <sheetFormatPr defaultRowHeight="14.25" x14ac:dyDescent="0.45"/>
  <cols>
    <col min="2" max="2" width="62" style="31" customWidth="1"/>
    <col min="3" max="5" width="24" style="31" customWidth="1"/>
    <col min="6" max="6" width="40" style="31" customWidth="1"/>
  </cols>
  <sheetData>
    <row r="2" spans="2:6" ht="18" x14ac:dyDescent="0.55000000000000004">
      <c r="B2" s="33" t="s">
        <v>38</v>
      </c>
    </row>
    <row r="4" spans="2:6" x14ac:dyDescent="0.45">
      <c r="B4" s="34" t="s">
        <v>39</v>
      </c>
      <c r="C4" s="34" t="s">
        <v>40</v>
      </c>
      <c r="D4" s="34" t="s">
        <v>41</v>
      </c>
      <c r="E4" s="34" t="s">
        <v>42</v>
      </c>
      <c r="F4" s="34" t="s">
        <v>43</v>
      </c>
    </row>
    <row r="5" spans="2:6" x14ac:dyDescent="0.45">
      <c r="B5" s="37" t="s">
        <v>44</v>
      </c>
      <c r="C5" s="40">
        <f>'TCO-V1'!E59</f>
        <v>71230239.981008008</v>
      </c>
      <c r="D5" s="40">
        <f>'TCO-V2'!E59</f>
        <v>73847674.623644799</v>
      </c>
      <c r="E5" s="40">
        <f>'TCO-V3'!E59</f>
        <v>77414976.267868802</v>
      </c>
      <c r="F5" s="32" t="s">
        <v>45</v>
      </c>
    </row>
    <row r="6" spans="2:6" x14ac:dyDescent="0.45">
      <c r="B6" s="37" t="s">
        <v>46</v>
      </c>
      <c r="C6" s="40">
        <f>'TCO-V1'!E60</f>
        <v>72014739.981007934</v>
      </c>
      <c r="D6" s="40">
        <f>'TCO-V2'!E60</f>
        <v>74596174.623644724</v>
      </c>
      <c r="E6" s="40">
        <f>'TCO-V3'!E60</f>
        <v>77983476.267868742</v>
      </c>
      <c r="F6" s="32" t="s">
        <v>47</v>
      </c>
    </row>
    <row r="7" spans="2:6" x14ac:dyDescent="0.45">
      <c r="B7" s="37" t="s">
        <v>48</v>
      </c>
      <c r="C7" s="40">
        <f>'TCO-V1'!E61</f>
        <v>37766407.584849745</v>
      </c>
      <c r="D7" s="40">
        <f>'TCO-V2'!E61</f>
        <v>39300551.849729404</v>
      </c>
      <c r="E7" s="40">
        <f>'TCO-V3'!E61</f>
        <v>41547733.162786298</v>
      </c>
      <c r="F7" s="32" t="s">
        <v>49</v>
      </c>
    </row>
    <row r="8" spans="2:6" x14ac:dyDescent="0.45">
      <c r="B8" s="37" t="s">
        <v>50</v>
      </c>
      <c r="C8" s="40">
        <f>'TCO-V1'!J15</f>
        <v>421229.940864</v>
      </c>
      <c r="D8" s="40">
        <f>'TCO-V2'!J15</f>
        <v>1460926.581248</v>
      </c>
      <c r="E8" s="40">
        <f>'TCO-V3'!J15</f>
        <v>1626319.5663360001</v>
      </c>
      <c r="F8" s="32" t="s">
        <v>284</v>
      </c>
    </row>
    <row r="9" spans="2:6" ht="23.25" x14ac:dyDescent="0.45">
      <c r="B9" s="37" t="s">
        <v>51</v>
      </c>
      <c r="C9" s="40">
        <f>'TCO-V1'!J24</f>
        <v>109319.76345599999</v>
      </c>
      <c r="D9" s="40">
        <f>'TCO-V2'!J24</f>
        <v>266879.64518399996</v>
      </c>
      <c r="E9" s="40">
        <f>'TCO-V3'!J24</f>
        <v>412301.48697600001</v>
      </c>
      <c r="F9" s="32" t="s">
        <v>286</v>
      </c>
    </row>
    <row r="10" spans="2:6" x14ac:dyDescent="0.45">
      <c r="B10" s="37" t="s">
        <v>52</v>
      </c>
      <c r="C10" s="40">
        <f>'TCO-V1'!J32</f>
        <v>57628000</v>
      </c>
      <c r="D10" s="40">
        <f>'TCO-V2'!J32</f>
        <v>57628000</v>
      </c>
      <c r="E10" s="40">
        <f>'TCO-V3'!J32</f>
        <v>57628000</v>
      </c>
      <c r="F10" s="32" t="s">
        <v>53</v>
      </c>
    </row>
    <row r="11" spans="2:6" x14ac:dyDescent="0.45">
      <c r="B11" s="37" t="s">
        <v>54</v>
      </c>
      <c r="C11" s="40">
        <f>'TCO-V1'!J40</f>
        <v>3657123.4000000004</v>
      </c>
      <c r="D11" s="40">
        <f>'TCO-V2'!J40</f>
        <v>4704163.8</v>
      </c>
      <c r="E11" s="40">
        <f>'TCO-V3'!J40</f>
        <v>7362750.6000000015</v>
      </c>
      <c r="F11" s="32" t="s">
        <v>55</v>
      </c>
    </row>
    <row r="12" spans="2:6" ht="23.25" x14ac:dyDescent="0.45">
      <c r="B12" s="37" t="s">
        <v>56</v>
      </c>
      <c r="C12" s="40">
        <f>'TCO-V1'!J48</f>
        <v>123666.0096</v>
      </c>
      <c r="D12" s="40">
        <f>'TCO-V2'!J48</f>
        <v>155399.21152000001</v>
      </c>
      <c r="E12" s="40">
        <f>'TCO-V3'!J48</f>
        <v>287999.01439999999</v>
      </c>
      <c r="F12" s="32" t="s">
        <v>289</v>
      </c>
    </row>
    <row r="13" spans="2:6" x14ac:dyDescent="0.45">
      <c r="B13" s="37" t="s">
        <v>57</v>
      </c>
      <c r="C13" s="40">
        <f>'TCO-V1'!J53</f>
        <v>784499.99999992154</v>
      </c>
      <c r="D13" s="40">
        <f>'TCO-V2'!J53</f>
        <v>748499.99999991758</v>
      </c>
      <c r="E13" s="40">
        <f>'TCO-V3'!J53</f>
        <v>568499.99999993737</v>
      </c>
      <c r="F13" s="32" t="s">
        <v>282</v>
      </c>
    </row>
    <row r="14" spans="2:6" x14ac:dyDescent="0.45">
      <c r="B14" s="37" t="s">
        <v>58</v>
      </c>
      <c r="C14" s="40">
        <f>'TCO-V1'!E63</f>
        <v>966.66666666666663</v>
      </c>
      <c r="D14" s="40">
        <f>'TCO-V2'!E63</f>
        <v>2891.6666666666665</v>
      </c>
      <c r="E14" s="40">
        <f>'TCO-V3'!E63</f>
        <v>5950</v>
      </c>
      <c r="F14" s="32" t="s">
        <v>290</v>
      </c>
    </row>
    <row r="15" spans="2:6" x14ac:dyDescent="0.45">
      <c r="B15" s="37" t="s">
        <v>59</v>
      </c>
      <c r="C15" s="40">
        <f>'TCO-V1'!E77</f>
        <v>1566.6666666666667</v>
      </c>
      <c r="D15" s="40">
        <f>'TCO-V2'!E77</f>
        <v>4141.666666666667</v>
      </c>
      <c r="E15" s="40">
        <f>'TCO-V3'!E77</f>
        <v>9133.3333333333339</v>
      </c>
      <c r="F15" s="32" t="s">
        <v>60</v>
      </c>
    </row>
    <row r="16" spans="2:6" x14ac:dyDescent="0.45">
      <c r="B16" s="37" t="s">
        <v>61</v>
      </c>
      <c r="C16" s="41" t="str">
        <f>'TCO-V1'!E78</f>
        <v>В бюджете CFO</v>
      </c>
      <c r="D16" s="41" t="str">
        <f>'TCO-V2'!E78</f>
        <v>В бюджете CFO</v>
      </c>
      <c r="E16" s="41" t="str">
        <f>'TCO-V3'!E78</f>
        <v>ПРЕВЫШЕНИЕ бюджета</v>
      </c>
      <c r="F16" s="32" t="s">
        <v>288</v>
      </c>
    </row>
    <row r="17" spans="2:6" x14ac:dyDescent="0.45">
      <c r="B17" s="37" t="s">
        <v>62</v>
      </c>
      <c r="C17" s="40">
        <f>'TCO-V1'!J15+'TCO-V1'!J24+'TCO-V1'!J40+'TCO-V1'!J53</f>
        <v>4972173.1043199217</v>
      </c>
      <c r="D17" s="40">
        <f>'TCO-V2'!J15+'TCO-V2'!J24+'TCO-V2'!J40+'TCO-V2'!J53</f>
        <v>7180470.0264319181</v>
      </c>
      <c r="E17" s="40">
        <f>'TCO-V3'!J15+'TCO-V3'!J24+'TCO-V3'!J40+'TCO-V3'!J53</f>
        <v>9969871.653311938</v>
      </c>
      <c r="F17" s="32" t="s">
        <v>63</v>
      </c>
    </row>
    <row r="18" spans="2:6" x14ac:dyDescent="0.45">
      <c r="B18" s="37" t="s">
        <v>64</v>
      </c>
      <c r="C18" s="40">
        <f>SUMPRODUCT(1-'TCO-V1'!E80:I80)*525600</f>
        <v>946.07999999995411</v>
      </c>
      <c r="D18" s="40">
        <f>SUMPRODUCT(1-'TCO-V2'!E80:I80)*525600</f>
        <v>683.27999999992471</v>
      </c>
      <c r="E18" s="40">
        <f>SUMPRODUCT(1-'TCO-V3'!E80:I80)*525600</f>
        <v>262.79999999997108</v>
      </c>
      <c r="F18" s="32" t="s">
        <v>280</v>
      </c>
    </row>
    <row r="19" spans="2:6" x14ac:dyDescent="0.45">
      <c r="B19" s="37" t="s">
        <v>65</v>
      </c>
      <c r="C19" s="42">
        <f>'TCO-V1'!E65</f>
        <v>0.86654793164243316</v>
      </c>
      <c r="D19" s="42">
        <f>'TCO-V2'!E65</f>
        <v>0.89839020223412169</v>
      </c>
      <c r="E19" s="42">
        <f>'TCO-V3'!E65</f>
        <v>0.94178803245582488</v>
      </c>
      <c r="F19" s="32" t="s">
        <v>287</v>
      </c>
    </row>
    <row r="20" spans="2:6" x14ac:dyDescent="0.45">
      <c r="B20" s="37" t="s">
        <v>66</v>
      </c>
      <c r="C20" s="43">
        <f>'TCO-V1'!E67</f>
        <v>3.7588517140373617E-2</v>
      </c>
      <c r="D20" s="43">
        <f>'TCO-V2'!E67</f>
        <v>3.8969749141765063E-2</v>
      </c>
      <c r="E20" s="43">
        <f>'TCO-V3'!E67</f>
        <v>4.0852230220511244E-2</v>
      </c>
      <c r="F20" s="32" t="s">
        <v>285</v>
      </c>
    </row>
    <row r="21" spans="2:6" x14ac:dyDescent="0.45">
      <c r="B21" s="37" t="s">
        <v>67</v>
      </c>
      <c r="C21" s="44">
        <f>'TCO-V1'!E70</f>
        <v>5.1342286660484265E-2</v>
      </c>
      <c r="D21" s="44">
        <f>'TCO-V2'!E70</f>
        <v>6.3700906277335975E-2</v>
      </c>
      <c r="E21" s="44">
        <f>'TCO-V3'!E70</f>
        <v>9.5107574205327533E-2</v>
      </c>
      <c r="F21" s="32" t="s">
        <v>293</v>
      </c>
    </row>
    <row r="22" spans="2:6" x14ac:dyDescent="0.45">
      <c r="B22" s="38"/>
      <c r="C22" s="38"/>
      <c r="D22" s="38"/>
      <c r="E22" s="38"/>
      <c r="F22" s="32"/>
    </row>
    <row r="23" spans="2:6" x14ac:dyDescent="0.45">
      <c r="B23" s="38"/>
      <c r="C23" s="38"/>
      <c r="D23" s="38"/>
      <c r="E23" s="38"/>
      <c r="F23" s="32"/>
    </row>
    <row r="24" spans="2:6" x14ac:dyDescent="0.45">
      <c r="B24" s="39" t="s">
        <v>296</v>
      </c>
      <c r="C24" s="39"/>
      <c r="D24" s="39"/>
      <c r="E24" s="39"/>
      <c r="F24" s="32"/>
    </row>
    <row r="25" spans="2:6" x14ac:dyDescent="0.45">
      <c r="B25" s="37" t="s">
        <v>297</v>
      </c>
      <c r="C25" s="37"/>
      <c r="D25" s="37"/>
      <c r="E25" s="37"/>
      <c r="F25" s="32"/>
    </row>
    <row r="26" spans="2:6" x14ac:dyDescent="0.45">
      <c r="B26" s="37" t="s">
        <v>298</v>
      </c>
      <c r="C26" s="40">
        <f>('TCO-V1'!E15+'TCO-V1'!E24+'TCO-V1'!E40+'TCO-V1'!E48)*(1+Допущения!$C$17)</f>
        <v>675970</v>
      </c>
      <c r="D26" s="40">
        <f>('TCO-V2'!E15+'TCO-V2'!E24+'TCO-V2'!E40+'TCO-V2'!E48)*(1+Допущения!$C$17)</f>
        <v>971404.99999999988</v>
      </c>
      <c r="E26" s="40">
        <f>('TCO-V3'!E15+'TCO-V3'!E24+'TCO-V3'!E40+'TCO-V3'!E48)*(1+Допущения!$C$17)</f>
        <v>1714189.9999999998</v>
      </c>
      <c r="F26" s="32" t="s">
        <v>295</v>
      </c>
    </row>
    <row r="27" spans="2:6" ht="23.25" x14ac:dyDescent="0.45">
      <c r="B27" s="37" t="s">
        <v>299</v>
      </c>
      <c r="C27" s="45" t="s">
        <v>300</v>
      </c>
      <c r="D27" s="40">
        <f>D26-$C$26</f>
        <v>295434.99999999988</v>
      </c>
      <c r="E27" s="40">
        <f>E26-$C$26</f>
        <v>1038219.9999999998</v>
      </c>
      <c r="F27" s="32" t="s">
        <v>279</v>
      </c>
    </row>
    <row r="28" spans="2:6" ht="23.25" x14ac:dyDescent="0.45">
      <c r="B28" s="37" t="s">
        <v>68</v>
      </c>
      <c r="C28" s="45" t="s">
        <v>300</v>
      </c>
      <c r="D28" s="40">
        <v>180000</v>
      </c>
      <c r="E28" s="40">
        <v>180000</v>
      </c>
      <c r="F28" s="32" t="s">
        <v>292</v>
      </c>
    </row>
    <row r="29" spans="2:6" x14ac:dyDescent="0.45">
      <c r="B29" s="37" t="s">
        <v>69</v>
      </c>
      <c r="C29" s="45" t="s">
        <v>300</v>
      </c>
      <c r="D29" s="40">
        <f>D27+D28</f>
        <v>475434.99999999988</v>
      </c>
      <c r="E29" s="40">
        <f>E27+E28</f>
        <v>1218219.9999999998</v>
      </c>
      <c r="F29" s="32" t="s">
        <v>294</v>
      </c>
    </row>
    <row r="30" spans="2:6" x14ac:dyDescent="0.45">
      <c r="B30" s="38"/>
      <c r="C30" s="38"/>
      <c r="D30" s="38"/>
      <c r="E30" s="38"/>
      <c r="F30" s="32"/>
    </row>
    <row r="31" spans="2:6" x14ac:dyDescent="0.45">
      <c r="B31" s="39" t="s">
        <v>70</v>
      </c>
      <c r="C31" s="39"/>
      <c r="D31" s="39"/>
      <c r="E31" s="39"/>
      <c r="F31" s="32" t="s">
        <v>281</v>
      </c>
    </row>
    <row r="32" spans="2:6" x14ac:dyDescent="0.45">
      <c r="B32" s="37" t="s">
        <v>71</v>
      </c>
      <c r="C32" s="40">
        <v>60000</v>
      </c>
      <c r="D32" s="46" t="s">
        <v>300</v>
      </c>
      <c r="E32" s="46" t="s">
        <v>300</v>
      </c>
      <c r="F32" s="32"/>
    </row>
    <row r="33" spans="2:6" x14ac:dyDescent="0.45">
      <c r="B33" s="37" t="s">
        <v>72</v>
      </c>
      <c r="C33" s="40">
        <v>20000</v>
      </c>
      <c r="D33" s="46" t="s">
        <v>300</v>
      </c>
      <c r="E33" s="46" t="s">
        <v>300</v>
      </c>
      <c r="F33" s="32"/>
    </row>
    <row r="34" spans="2:6" x14ac:dyDescent="0.45">
      <c r="B34" s="37" t="s">
        <v>73</v>
      </c>
      <c r="C34" s="40">
        <v>110000</v>
      </c>
      <c r="D34" s="46" t="s">
        <v>300</v>
      </c>
      <c r="E34" s="46" t="s">
        <v>300</v>
      </c>
      <c r="F34" s="32"/>
    </row>
    <row r="35" spans="2:6" ht="23.25" x14ac:dyDescent="0.45">
      <c r="B35" s="37" t="s">
        <v>74</v>
      </c>
      <c r="C35" s="40">
        <f>SUM(C32:C34)</f>
        <v>190000</v>
      </c>
      <c r="D35" s="46" t="s">
        <v>300</v>
      </c>
      <c r="E35" s="46" t="s">
        <v>300</v>
      </c>
      <c r="F35" s="32" t="s">
        <v>291</v>
      </c>
    </row>
    <row r="36" spans="2:6" x14ac:dyDescent="0.45">
      <c r="B36" s="38"/>
      <c r="C36" s="38"/>
      <c r="D36" s="38"/>
      <c r="E36" s="38"/>
      <c r="F36" s="32"/>
    </row>
    <row r="37" spans="2:6" x14ac:dyDescent="0.45">
      <c r="B37" s="39" t="s">
        <v>75</v>
      </c>
      <c r="C37" s="39"/>
      <c r="D37" s="39"/>
      <c r="E37" s="39"/>
      <c r="F37" s="32"/>
    </row>
    <row r="38" spans="2:6" ht="64.5" x14ac:dyDescent="0.45">
      <c r="B38" s="37" t="s">
        <v>301</v>
      </c>
      <c r="C38" s="46" t="s">
        <v>300</v>
      </c>
      <c r="D38" s="40">
        <f>(('TCO-V2'!J15+'TCO-V2'!J24+'TCO-V2'!J40+'TCO-V2'!J48)-('TCO-V1'!J15+'TCO-V1'!J24+'TCO-V1'!J40+'TCO-V1'!J48))*(1+Допущения!$C$17)/(C18-D18)</f>
        <v>9959.7969658923394</v>
      </c>
      <c r="E38" s="40">
        <f>(('TCO-V3'!J15+'TCO-V3'!J24+'TCO-V3'!J40+'TCO-V3'!J48)-('TCO-V1'!J15+'TCO-V1'!J24+'TCO-V1'!J40+'TCO-V1'!J48))*(1+Допущения!$C$17)/(C18-E18)</f>
        <v>9051.5400521908359</v>
      </c>
      <c r="F38" s="32" t="s">
        <v>283</v>
      </c>
    </row>
    <row r="39" spans="2:6" x14ac:dyDescent="0.45">
      <c r="F39" s="32"/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Инструкция</vt:lpstr>
      <vt:lpstr>Допущения</vt:lpstr>
      <vt:lpstr>TCO-V1</vt:lpstr>
      <vt:lpstr>TCO-V2</vt:lpstr>
      <vt:lpstr>TCO-V3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Михаил Новиков</cp:lastModifiedBy>
  <dcterms:created xsi:type="dcterms:W3CDTF">2026-08-24T07:50:39Z</dcterms:created>
  <dcterms:modified xsi:type="dcterms:W3CDTF">2026-10-05T19:19:07Z</dcterms:modified>
</cp:coreProperties>
</file>